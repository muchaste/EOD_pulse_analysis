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xr:revisionPtr revIDLastSave="0" documentId="13_ncr:1_{5C579154-42B4-4B2C-9550-434D6BC68B29}" xr6:coauthVersionLast="36" xr6:coauthVersionMax="47" xr10:uidLastSave="{00000000-0000-0000-0000-000000000000}"/>
  <bookViews>
    <workbookView xWindow="-90" yWindow="0" windowWidth="14670" windowHeight="20970" activeTab="1" xr2:uid="{00000000-000D-0000-FFFF-FFFF00000000}"/>
  </bookViews>
  <sheets>
    <sheet name="Recordings_overview" sheetId="3" r:id="rId1"/>
    <sheet name="Manual_measurements" sheetId="1" r:id="rId2"/>
    <sheet name="Sampling_trips_overview" sheetId="4" r:id="rId3"/>
    <sheet name="Deployment_times" sheetId="6" r:id="rId4"/>
    <sheet name="TinyTag_Distribution" sheetId="7" r:id="rId5"/>
    <sheet name="Sampling_sites" sheetId="5" r:id="rId6"/>
    <sheet name="Legend" sheetId="2" r:id="rId7"/>
  </sheet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70" i="3" l="1"/>
  <c r="K78" i="3"/>
  <c r="K85" i="3"/>
  <c r="K60" i="3"/>
  <c r="K7" i="3"/>
  <c r="K26" i="3"/>
  <c r="K34" i="3"/>
  <c r="K42" i="3"/>
  <c r="K13" i="3"/>
  <c r="K84" i="3"/>
  <c r="K69" i="3"/>
  <c r="K77" i="3"/>
  <c r="K52" i="3"/>
  <c r="K61" i="3"/>
  <c r="K8" i="3"/>
  <c r="K27" i="3"/>
  <c r="K35" i="3"/>
  <c r="K43" i="3"/>
  <c r="K14" i="3"/>
  <c r="K17" i="3"/>
  <c r="K19" i="3"/>
  <c r="K53" i="3"/>
  <c r="K62" i="3"/>
  <c r="K9" i="3"/>
  <c r="K28" i="3"/>
  <c r="K36" i="3"/>
  <c r="K44" i="3"/>
  <c r="K15" i="3"/>
  <c r="K71" i="3"/>
  <c r="K79" i="3"/>
  <c r="K86" i="3"/>
  <c r="K18" i="3"/>
  <c r="K54" i="3"/>
  <c r="K63" i="3"/>
  <c r="K20" i="3"/>
  <c r="K10" i="3"/>
  <c r="K29" i="3"/>
  <c r="K37" i="3"/>
  <c r="K45" i="3"/>
  <c r="K16" i="3"/>
  <c r="K72" i="3"/>
  <c r="K73" i="3"/>
  <c r="K75" i="3"/>
  <c r="K59" i="3"/>
  <c r="K67" i="3"/>
  <c r="K74" i="3"/>
  <c r="K41" i="3"/>
  <c r="K11" i="3"/>
  <c r="K40" i="3"/>
  <c r="K5" i="3"/>
  <c r="K51" i="3" l="1"/>
  <c r="K83" i="3"/>
  <c r="K68" i="3"/>
  <c r="K76" i="3"/>
  <c r="K12" i="3"/>
  <c r="K33" i="3"/>
  <c r="K25" i="3"/>
  <c r="K6" i="3"/>
  <c r="K50" i="3"/>
  <c r="K82" i="3"/>
  <c r="K32" i="3"/>
  <c r="K24" i="3"/>
  <c r="K58" i="3"/>
  <c r="K49" i="3"/>
  <c r="K64" i="3"/>
  <c r="K55" i="3"/>
  <c r="K46" i="3"/>
  <c r="K65" i="3"/>
  <c r="K57" i="3"/>
  <c r="K48" i="3"/>
  <c r="K22" i="3"/>
  <c r="K3" i="3"/>
  <c r="K56" i="3"/>
  <c r="K47" i="3"/>
  <c r="K81" i="3"/>
  <c r="K23" i="3"/>
  <c r="K4" i="3"/>
  <c r="K80" i="3"/>
  <c r="K39" i="3"/>
  <c r="K31" i="3"/>
  <c r="K66" i="3"/>
  <c r="E18" i="5"/>
  <c r="D18" i="5"/>
  <c r="C18" i="5"/>
  <c r="B18" i="5"/>
  <c r="E22" i="5"/>
  <c r="D22" i="5"/>
  <c r="C22" i="5"/>
  <c r="B22" i="5"/>
  <c r="E32" i="5"/>
  <c r="D32" i="5"/>
  <c r="C32" i="5"/>
  <c r="B32" i="5"/>
  <c r="E35" i="5"/>
  <c r="D35" i="5"/>
  <c r="C35" i="5"/>
  <c r="B35" i="5"/>
  <c r="K355" i="1" l="1"/>
  <c r="K288" i="1"/>
  <c r="K329" i="1"/>
  <c r="K148" i="1"/>
  <c r="K140" i="1"/>
  <c r="K138" i="1"/>
  <c r="K326" i="1"/>
  <c r="K353" i="1"/>
  <c r="K282" i="1"/>
  <c r="K323" i="1"/>
  <c r="K117" i="1"/>
  <c r="K201" i="1"/>
  <c r="K114" i="1"/>
  <c r="K349" i="1"/>
  <c r="K279" i="1"/>
  <c r="K320" i="1"/>
  <c r="K72" i="1"/>
  <c r="K191" i="1"/>
  <c r="K189" i="1"/>
  <c r="K317" i="1"/>
  <c r="K347" i="1"/>
  <c r="K71" i="1" l="1"/>
  <c r="K69" i="1"/>
  <c r="K187" i="1"/>
  <c r="K186" i="1"/>
  <c r="K273" i="1"/>
  <c r="K314" i="1"/>
  <c r="K346" i="1"/>
  <c r="K345" i="1"/>
  <c r="K311" i="1"/>
  <c r="K270" i="1"/>
  <c r="K62" i="1"/>
  <c r="K60" i="1"/>
  <c r="K179" i="1"/>
  <c r="K177" i="1"/>
  <c r="K56" i="1" l="1"/>
  <c r="K54" i="1"/>
  <c r="K176" i="1"/>
  <c r="K174" i="1"/>
  <c r="K344" i="1"/>
  <c r="K267" i="1"/>
  <c r="K308" i="1"/>
  <c r="K264" i="1" l="1"/>
  <c r="K305" i="1"/>
  <c r="K343" i="1"/>
  <c r="K50" i="1"/>
  <c r="K48" i="1"/>
  <c r="K173" i="1"/>
  <c r="K171" i="1"/>
  <c r="K38" i="3" l="1"/>
  <c r="K30" i="3"/>
  <c r="K21" i="3"/>
  <c r="K44" i="1" l="1"/>
  <c r="K42" i="1"/>
  <c r="K170" i="1"/>
  <c r="K168" i="1"/>
  <c r="K342" i="1"/>
  <c r="K302" i="1"/>
  <c r="K261" i="1"/>
  <c r="K299" i="1"/>
  <c r="K258" i="1"/>
  <c r="K341" i="1"/>
  <c r="K36" i="1"/>
  <c r="K38" i="1"/>
  <c r="K167" i="1"/>
  <c r="K165" i="1"/>
  <c r="K2" i="3"/>
  <c r="K32" i="1" l="1"/>
  <c r="K30" i="1"/>
  <c r="K164" i="1"/>
  <c r="K162" i="1"/>
  <c r="K340" i="1" l="1"/>
  <c r="K296" i="1"/>
  <c r="K255" i="1"/>
  <c r="K294" i="1"/>
  <c r="K252" i="1"/>
  <c r="K339" i="1"/>
  <c r="K26" i="1"/>
  <c r="K24" i="1"/>
  <c r="K161" i="1"/>
  <c r="K159" i="1"/>
  <c r="K335" i="1" l="1"/>
</calcChain>
</file>

<file path=xl/sharedStrings.xml><?xml version="1.0" encoding="utf-8"?>
<sst xmlns="http://schemas.openxmlformats.org/spreadsheetml/2006/main" count="2683" uniqueCount="367">
  <si>
    <t>Date</t>
  </si>
  <si>
    <t>Time</t>
  </si>
  <si>
    <t>Site</t>
  </si>
  <si>
    <t>Location</t>
  </si>
  <si>
    <t>T_C</t>
  </si>
  <si>
    <t>DO_AS</t>
  </si>
  <si>
    <t>pH</t>
  </si>
  <si>
    <t>Cond_uS</t>
  </si>
  <si>
    <t>h_cm</t>
  </si>
  <si>
    <t>PL</t>
  </si>
  <si>
    <t>L1</t>
  </si>
  <si>
    <t>L2</t>
  </si>
  <si>
    <t>L1-1</t>
  </si>
  <si>
    <t>L1-2</t>
  </si>
  <si>
    <t>L1-3</t>
  </si>
  <si>
    <t>L1-4</t>
  </si>
  <si>
    <t>L1-5</t>
  </si>
  <si>
    <t>L1-6</t>
  </si>
  <si>
    <t>L1-7</t>
  </si>
  <si>
    <t>L1-8</t>
  </si>
  <si>
    <t>L2-1</t>
  </si>
  <si>
    <t>L2-2</t>
  </si>
  <si>
    <t>L2-3</t>
  </si>
  <si>
    <t>L2-4</t>
  </si>
  <si>
    <t>L2-5</t>
  </si>
  <si>
    <t>L2-6</t>
  </si>
  <si>
    <t>L2-7</t>
  </si>
  <si>
    <t>L2-8</t>
  </si>
  <si>
    <t>d_veg_cm</t>
  </si>
  <si>
    <t>PL: Petro Lagoon</t>
  </si>
  <si>
    <t>Measurement location within Site (see field notebook)</t>
  </si>
  <si>
    <t>Variable</t>
  </si>
  <si>
    <t>Explanation</t>
  </si>
  <si>
    <t>L1: EOD logger 1</t>
  </si>
  <si>
    <t>L1-1 Electrode for channel 1 of EOD logger 1</t>
  </si>
  <si>
    <t>Values</t>
  </si>
  <si>
    <t>Temperature in degree Celsius</t>
  </si>
  <si>
    <t>Dissolved oxygen in percent air saturation</t>
  </si>
  <si>
    <t>pH Value</t>
  </si>
  <si>
    <t>Conductivity in Microsiemens</t>
  </si>
  <si>
    <t>Vertical distance from water surface measured down</t>
  </si>
  <si>
    <t>Distance to nearest patch of vegetation</t>
  </si>
  <si>
    <t>JR</t>
  </si>
  <si>
    <t>L5-edge</t>
  </si>
  <si>
    <t>L5-mid</t>
  </si>
  <si>
    <t>LN</t>
  </si>
  <si>
    <t>JR: Juma River</t>
  </si>
  <si>
    <t>LN: Lake Nabugabo</t>
  </si>
  <si>
    <t>SL: Snake Lagoon</t>
  </si>
  <si>
    <t>L5-half: at the appr. half length of electrode cable</t>
  </si>
  <si>
    <t>L5-edge: at the edge of water body (usually at first electrode ending, most proximate to logger with longitudinally arranged electrodes)</t>
  </si>
  <si>
    <t>L5-mid: at the end of the electrode cable (3.5m from edge measurement with longitudinally arranged electrodes)</t>
  </si>
  <si>
    <t>SL</t>
  </si>
  <si>
    <t>L78-edge</t>
  </si>
  <si>
    <t>L78-half</t>
  </si>
  <si>
    <t>L5-half</t>
  </si>
  <si>
    <t>L6-edge</t>
  </si>
  <si>
    <t>L6-half</t>
  </si>
  <si>
    <t>L6-mid</t>
  </si>
  <si>
    <t>L1-edge</t>
  </si>
  <si>
    <t>Turbidity_NTU</t>
  </si>
  <si>
    <t>L1-half</t>
  </si>
  <si>
    <t>L1-mid</t>
  </si>
  <si>
    <t>LN2</t>
  </si>
  <si>
    <t>After rainfall</t>
  </si>
  <si>
    <t>L9-edge</t>
  </si>
  <si>
    <t>L9-half</t>
  </si>
  <si>
    <t>L9-mid</t>
  </si>
  <si>
    <t>L4-mid</t>
  </si>
  <si>
    <t>L4-half</t>
  </si>
  <si>
    <t>L4-edge</t>
  </si>
  <si>
    <t>After heavy rain</t>
  </si>
  <si>
    <t>notes</t>
  </si>
  <si>
    <t>LN3</t>
  </si>
  <si>
    <t>LNI1</t>
  </si>
  <si>
    <t>LN4</t>
  </si>
  <si>
    <t>LNI2</t>
  </si>
  <si>
    <t>At Juma River mouth, right edge (looking at the mouth from the lake)</t>
  </si>
  <si>
    <t>Close to Juma River mouth, left edge, Hippo Grass</t>
  </si>
  <si>
    <t>Closest large island to Juma River, electrodes pointing to river</t>
  </si>
  <si>
    <t>Furthest large island from Juma River, electrodes pointing to lake</t>
  </si>
  <si>
    <t>At water lillies and floating vegetation</t>
  </si>
  <si>
    <t>At floating vegetation</t>
  </si>
  <si>
    <t>Ca. 30m upriver from the mouth, right edge, L5 with electrodes transversing into the river bed, L6 with electrodes along the current</t>
  </si>
  <si>
    <t>PL-S</t>
  </si>
  <si>
    <t>PLS</t>
  </si>
  <si>
    <t>Electrodes fastened to long palm branches, pointing inwards from the edge, along a small floating island. L1 on surface, L2 along ground</t>
  </si>
  <si>
    <t>First 2 measurements, electrodes radially distributed (L1 and L2). After disturbance, electrodes longitudinal from vegetation to open area of the pond. L3 along ground, L4 on surface</t>
  </si>
  <si>
    <t>Logger and electrode placement</t>
  </si>
  <si>
    <t>First measurement L9, thereafter L10, logger fastened in vegetation, electrode along the current in middle of stream</t>
  </si>
  <si>
    <t>Start_Date</t>
  </si>
  <si>
    <t>End_Date</t>
  </si>
  <si>
    <t>Logger_ID</t>
  </si>
  <si>
    <t>Placement</t>
  </si>
  <si>
    <t>Electrode_arrangement</t>
  </si>
  <si>
    <t>Copied</t>
  </si>
  <si>
    <t>Archived</t>
  </si>
  <si>
    <t>Extracted</t>
  </si>
  <si>
    <t>Threshold</t>
  </si>
  <si>
    <t>Notes</t>
  </si>
  <si>
    <t>Vegetation</t>
  </si>
  <si>
    <t>Distributed</t>
  </si>
  <si>
    <t>hdd1</t>
  </si>
  <si>
    <t>ok</t>
  </si>
  <si>
    <t>Open</t>
  </si>
  <si>
    <t>Orthogonal</t>
  </si>
  <si>
    <t>Longitudinal</t>
  </si>
  <si>
    <t>Surface</t>
  </si>
  <si>
    <t>Ground</t>
  </si>
  <si>
    <t>Stream</t>
  </si>
  <si>
    <t>hdd2</t>
  </si>
  <si>
    <t>L10-edge</t>
  </si>
  <si>
    <t>L10-half</t>
  </si>
  <si>
    <t>L10-mid</t>
  </si>
  <si>
    <t>Arrangement of electrodes</t>
  </si>
  <si>
    <t>Recorded_dur_h</t>
  </si>
  <si>
    <t>Gain_factor</t>
  </si>
  <si>
    <t>Delay_min</t>
  </si>
  <si>
    <t>Was the recording data copied to backup hdd?</t>
  </si>
  <si>
    <t>HDD number of backup drive</t>
  </si>
  <si>
    <t>Was the recording data archived on 2nd backup hdd?</t>
  </si>
  <si>
    <t>ok/pending/-</t>
  </si>
  <si>
    <t>Have EODs been extracted?</t>
  </si>
  <si>
    <t>Amplitude threshold for EOD extraction</t>
  </si>
  <si>
    <t>Amplitude value</t>
  </si>
  <si>
    <t>Notes concerning recording etc.</t>
  </si>
  <si>
    <t>First trip, placed L1 and L2 on swampward edge of pond, electrodes distributed, DO logger with them</t>
  </si>
  <si>
    <t>Second trip, collected L1,2 and placed L3,4 similarly with DO logger</t>
  </si>
  <si>
    <t>First trip to Juma River, placed L5 perpendicular to edge and L6 with electrodes along the current</t>
  </si>
  <si>
    <t>LN1, PL</t>
  </si>
  <si>
    <t>JR, LN1, SL</t>
  </si>
  <si>
    <t>Placed L7,8 (with electrodes connected, 1m overlap -&gt; 6.5m electrode length together) on lake edge; pulled L3,4 from PL, loggers had been disrupted, cables moved etc. probably on 8.10. between 10:45 and 12 (-&gt; light logger data)</t>
  </si>
  <si>
    <t>JR, SL</t>
  </si>
  <si>
    <t>Pulled L5,6 from JR and  L1,2 from SL, first turbidity measurements</t>
  </si>
  <si>
    <t>LN2, JR</t>
  </si>
  <si>
    <t>LN2, JR, PL, SL</t>
  </si>
  <si>
    <t>PL, SL</t>
  </si>
  <si>
    <t>Pulled all loggers from PL and SL</t>
  </si>
  <si>
    <t>LNI1, LN3, JR</t>
  </si>
  <si>
    <t>LNI1, LN3, JR, PL, SL</t>
  </si>
  <si>
    <t>LNI2, LN4, JR</t>
  </si>
  <si>
    <t>LNI2, LN4, JR, PL, SL</t>
  </si>
  <si>
    <t>Second trip to JR, Placed L5,6 as before, pulled L7,8 from LN1 site, and set L1 and L2 at Snake Lagoon together with DO logger (L1 on surface, L2 along ground, both pointing towards the middle of the pond, approximately on the same line)</t>
  </si>
  <si>
    <t>Placed L7,8 at second LN site and L5,6 as before with DO logger at JR</t>
  </si>
  <si>
    <t>First full trip - pulled loggers from LN2 and JR, placed L3,4 in PL-Pond (L3 on ground, L4 on surface, channels 1-4 in vegetation and 5-8 outside) with DO logger, and L9 in stream (electrodes along current), placed SL loggers as before</t>
  </si>
  <si>
    <t>First trip to include a swimming papyrus island (closest to JR), placed L9 there, L7,8 at LN3 (close to JR mouth) with DO logger, and L5,6 as before</t>
  </si>
  <si>
    <t>Pulled LN and JR loggers - L5 was moved by increased current and close to L6, placed PL and SL loggers as before (L10 in stream instead of L9) with DO logger at SL</t>
  </si>
  <si>
    <t>Placed L9 at island farthest into the lake, on lakeside edge, L7,8 at the other side of the JR mouth on the lake and L5,6 as before with DO logger</t>
  </si>
  <si>
    <t>Pulled LN and JR loggers - L9 was moved, distal electrode "pushed" closer to island but still furthest out. Placed PL and SL loggers as before with DO logger at PL</t>
  </si>
  <si>
    <t>Pulled PL and SL loggers, recorded 2 MV and 5 PD, 10x gain led to distorted diff. recordings, all PD recordings are 1x (diff) and 10x (no ref)</t>
  </si>
  <si>
    <t>LN6</t>
  </si>
  <si>
    <t>LN5</t>
  </si>
  <si>
    <t>LNI3</t>
  </si>
  <si>
    <t>Northeast lake edge, closest to the lagoons</t>
  </si>
  <si>
    <t>Ca. 100m from LN5 in similar location</t>
  </si>
  <si>
    <t>In open water, ca. 100m from nearest floating island, electrode cable straight down</t>
  </si>
  <si>
    <t>L8-edge</t>
  </si>
  <si>
    <t>L8-half</t>
  </si>
  <si>
    <t>L7-edge</t>
  </si>
  <si>
    <t>L7-half</t>
  </si>
  <si>
    <t>Electrodes straight down -&gt; only one depth, pH and cond</t>
  </si>
  <si>
    <t>Went to north-eastern lake edge, on the edge of the wetland that is closest to the lagoons and placed L7 (+DO) and L8 (+light) there close to mangrove/hippogras. L9 placed in open water ca. 100m from the next floating island with electrode cable straight down, L5,6 placed as before</t>
  </si>
  <si>
    <t>Pulled LN and JR loggers - lake loggers in place but L5 moved, very strong current, water level ca. 10cm higher in Juma River (heavy and prolonged rain on 7.11.). Placed PL and SL loggers as before with DO at SL</t>
  </si>
  <si>
    <t>GPS_UTM_36M_East</t>
  </si>
  <si>
    <t>GPS_UTM_36M_North</t>
  </si>
  <si>
    <t>LNI3_retrieval</t>
  </si>
  <si>
    <t>Coordinates at retrieval</t>
  </si>
  <si>
    <t>wayyy too many EODs!</t>
  </si>
  <si>
    <t>Took very long, many EODs</t>
  </si>
  <si>
    <t>20231109 - Calibration function was not updated when the cal_data was expanded to include all amps from all channels!! :( all extractions possibly faulty, this is the first to correct it</t>
  </si>
  <si>
    <t>LN1</t>
  </si>
  <si>
    <t>hdd3</t>
  </si>
  <si>
    <t>Pulled PL and SL loggers, nothing else (with bodas)</t>
  </si>
  <si>
    <t>LN7, LN8, LNI4, JR</t>
  </si>
  <si>
    <t>DO_logger_PME_loc</t>
  </si>
  <si>
    <t>DO_logger_PS_loc</t>
  </si>
  <si>
    <t>LN7</t>
  </si>
  <si>
    <t>Set L7 on north edge (LN7) with PME DO logger and L8 ca. 100m from LN5/LN6 in the water (LN8), L9 further away from the island (LNI4), JR loggers as usual, L5 with bigger stone</t>
  </si>
  <si>
    <t>LN8</t>
  </si>
  <si>
    <t>LNI4</t>
  </si>
  <si>
    <t>Northern lake edge, miscanthidium</t>
  </si>
  <si>
    <t>Ca. 100m from LN5,6 in open water</t>
  </si>
  <si>
    <t>In open water, ca. 200m from floating island</t>
  </si>
  <si>
    <t>x</t>
  </si>
  <si>
    <t>Flooded</t>
  </si>
  <si>
    <t>LN5, LN6, LNI3, JR</t>
  </si>
  <si>
    <t>LN5, LN6, LNI3, JR, PL, SL</t>
  </si>
  <si>
    <t>LN7, LN8, LNI4, JR, PL, SL</t>
  </si>
  <si>
    <t>Pulled LN and JR loggers, L5 stayed in place, set PL and SL loggers as before, placed Pyro DO logger in the pond and PME DO logger in the stream area of PL</t>
  </si>
  <si>
    <t>LNI4_retrieval</t>
  </si>
  <si>
    <t>Used a new Teensy because the old one didn't keep the time. Whats up here? Ran on dry test over 24h</t>
  </si>
  <si>
    <t>LN9</t>
  </si>
  <si>
    <t>LN10</t>
  </si>
  <si>
    <t>LN11</t>
  </si>
  <si>
    <t>LN12</t>
  </si>
  <si>
    <t>LN13</t>
  </si>
  <si>
    <t>Eastern lake edge, water lillies and high reeds</t>
  </si>
  <si>
    <t>South-Eastern lake edge, vegetation similar to LN11</t>
  </si>
  <si>
    <t>North-northwest lake edge (closer to sand beach), miscanthidium and hippograss</t>
  </si>
  <si>
    <t>Ca. 100m from LN9 in open water</t>
  </si>
  <si>
    <t>Ca. 150m from LN11, in open water clear of the water lilly band</t>
  </si>
  <si>
    <t>PL. SL</t>
  </si>
  <si>
    <t>Pulled PL and SL loggers, no fish measurement because of rain</t>
  </si>
  <si>
    <t>LN9-13, JR</t>
  </si>
  <si>
    <t>Set loggers around LN on northern and eastern edge plus two loggers in open water. Set DO loggers in open water in top and bottom to record vertical differences. Set JR loggers as usual</t>
  </si>
  <si>
    <t>LN9-13, JR, PL, SL</t>
  </si>
  <si>
    <t>Pulled lake loggers, LN10 - ground DO logger was ca. 1m under surface, all loggers in open water probably moved (check GPS), set PL and SL loggers as usual</t>
  </si>
  <si>
    <t>Point</t>
  </si>
  <si>
    <t>Looong pulses were not detected - re-ran detection with new parameters (longer p_win and durations, lower peak FFT)</t>
  </si>
  <si>
    <t>hdd4</t>
  </si>
  <si>
    <t>Pulled PL and SL loggers, recorded 1 MV and 1 PD, Electrode-holding stick in open area had moved, was lying in vegetation (-&gt; stormy night?)</t>
  </si>
  <si>
    <t>LN15</t>
  </si>
  <si>
    <t>LN14-17, JR, JR2</t>
  </si>
  <si>
    <t>LN14-17, JR, JR2, SL, PL</t>
  </si>
  <si>
    <t>LN14</t>
  </si>
  <si>
    <t>LN16</t>
  </si>
  <si>
    <t>LN17</t>
  </si>
  <si>
    <t>Middle of lake, north-east</t>
  </si>
  <si>
    <t>Middle of lake</t>
  </si>
  <si>
    <t>Middle of lake, south-west</t>
  </si>
  <si>
    <t>North-west edge on mangrove forest between JR and Orchid village</t>
  </si>
  <si>
    <t>LN10_retrieval</t>
  </si>
  <si>
    <t>LN12_retrieval</t>
  </si>
  <si>
    <t>JR2</t>
  </si>
  <si>
    <t>Ca. 100m upstream from JR, L12 with two Tinytags, electrodes along with current</t>
  </si>
  <si>
    <t>Logger got wet on last sampling trip, only one ADC worked on calibration, probably water damage</t>
  </si>
  <si>
    <t>Logger was prepared for River -&gt; only 10x gain</t>
  </si>
  <si>
    <t>Logger has surfaced - check light logger data</t>
  </si>
  <si>
    <t>Electrode-holding stick was moved, possibly due to the storm</t>
  </si>
  <si>
    <t>Logger didn't run?</t>
  </si>
  <si>
    <t>L2-edge</t>
  </si>
  <si>
    <t>L11-edge</t>
  </si>
  <si>
    <t>L11-half</t>
  </si>
  <si>
    <t>L12-edge</t>
  </si>
  <si>
    <t>L12-half</t>
  </si>
  <si>
    <t>L12-mid</t>
  </si>
  <si>
    <t>L7-mid</t>
  </si>
  <si>
    <t>L8-mid</t>
  </si>
  <si>
    <t>L11-mid</t>
  </si>
  <si>
    <t>Electrode cable completely parallel to L6 because of higher current</t>
  </si>
  <si>
    <t>Electrodes were pulled up and moved around</t>
  </si>
  <si>
    <t>Set L7-L9 in open, approximately in the middle of the lake on the southwest-northeast axis,  L5,6 as usual, L12 upstream in JR (JR2) and L11 on LN edge on mangrove forest. Last LN and JR sampling trip, HOBO loggers mysteriously reset to GMT+1 time (add 2 hours!)</t>
  </si>
  <si>
    <t>SL, PL</t>
  </si>
  <si>
    <t>Pulled PL and SL loggers, recorded 1 PD</t>
  </si>
  <si>
    <t>Pulled lake loggers, L8 (LN16) didn't record properly, probably water damage</t>
  </si>
  <si>
    <t>Extracted with 0.05 but some very long pulses (600uS) with a p-p ratio of ca. 2 were not detected…</t>
  </si>
  <si>
    <t>LN15_NOT_RUNNING</t>
  </si>
  <si>
    <t>lat</t>
  </si>
  <si>
    <t>lon</t>
  </si>
  <si>
    <t xml:space="preserve">0°21'48.4"S </t>
  </si>
  <si>
    <t>31°52'22.9"E</t>
  </si>
  <si>
    <t>lon_dms</t>
  </si>
  <si>
    <t>lat_dms</t>
  </si>
  <si>
    <t>LNI4_mean</t>
  </si>
  <si>
    <t>Mean between deployment and retrieval</t>
  </si>
  <si>
    <t>LNI3_mean</t>
  </si>
  <si>
    <t>LN10_mean</t>
  </si>
  <si>
    <t>LN12_mean</t>
  </si>
  <si>
    <t>System</t>
  </si>
  <si>
    <t>Large Scale Habitat with Distinct Properties</t>
  </si>
  <si>
    <t>Sampling Site within System</t>
  </si>
  <si>
    <t>PLP</t>
  </si>
  <si>
    <t>SLP</t>
  </si>
  <si>
    <t>PLP: Petro Lagoon - Pond</t>
  </si>
  <si>
    <t>PLS: Petro Lagoon - Stream</t>
  </si>
  <si>
    <t>LNx: Lake Nabugabo (site no. X)</t>
  </si>
  <si>
    <t>JRx: Juma River (site no. X)</t>
  </si>
  <si>
    <t>LNIx: Site associated with Papyrus island on Lake Nabugabo</t>
  </si>
  <si>
    <t>SLP: Snake Lagoon - Pond</t>
  </si>
  <si>
    <t>How was the logger and cable placed?</t>
  </si>
  <si>
    <t>Parallel</t>
  </si>
  <si>
    <t>Parallel: in flowing water parallel to the direction of the current</t>
  </si>
  <si>
    <t>Orthogonal: orthogonal to the edge of the water body (in flowing water orthogonal to the direction of the current)</t>
  </si>
  <si>
    <t>Surface: in the lagoons - ca. 10-50cm below the surface</t>
  </si>
  <si>
    <t>Ground: in the lagoons - cable runs along the ground</t>
  </si>
  <si>
    <t>Point: in the lake - logger is anchored with stone and floaters in one location, electrode cable points vertically down</t>
  </si>
  <si>
    <t>Distributed: single electrode cables positioned in a distributed manner</t>
  </si>
  <si>
    <t>Longitudinal: all electrodes along one strand of cable in different distances to logger</t>
  </si>
  <si>
    <t>Total duration recorded by EOD logger in hours</t>
  </si>
  <si>
    <t>Gain factor</t>
  </si>
  <si>
    <t>Pre-set delay in minutes</t>
  </si>
  <si>
    <t>Water turbidity in Nephelometric Turbidity Units</t>
  </si>
  <si>
    <t>Deployment</t>
  </si>
  <si>
    <t>Collection</t>
  </si>
  <si>
    <t>JR1</t>
  </si>
  <si>
    <t>Curtailed</t>
  </si>
  <si>
    <t>t_rec</t>
  </si>
  <si>
    <t>Only recorded until 3am (~15h)</t>
  </si>
  <si>
    <t>events_thresh</t>
  </si>
  <si>
    <t>Some EODs not detected - check!</t>
  </si>
  <si>
    <t>almost nothing, weird noise</t>
  </si>
  <si>
    <t>Tinytag</t>
  </si>
  <si>
    <t>Pos</t>
  </si>
  <si>
    <t>5-1</t>
  </si>
  <si>
    <t>Edge</t>
  </si>
  <si>
    <t>5-2</t>
  </si>
  <si>
    <t>Half</t>
  </si>
  <si>
    <t>5-3</t>
  </si>
  <si>
    <t>L5-middle</t>
  </si>
  <si>
    <t>Middle</t>
  </si>
  <si>
    <t>6-1</t>
  </si>
  <si>
    <t>L6-middle</t>
  </si>
  <si>
    <t>6-2</t>
  </si>
  <si>
    <t>6-3</t>
  </si>
  <si>
    <t>7-1</t>
  </si>
  <si>
    <t>7-2</t>
  </si>
  <si>
    <t>L78-half1</t>
  </si>
  <si>
    <t>7-3</t>
  </si>
  <si>
    <t>L78-half2</t>
  </si>
  <si>
    <t>8-1</t>
  </si>
  <si>
    <t>L78-middle</t>
  </si>
  <si>
    <t>8-2</t>
  </si>
  <si>
    <t>8-3</t>
  </si>
  <si>
    <t>L9-middle</t>
  </si>
  <si>
    <t>L4-middle</t>
  </si>
  <si>
    <t>removed tinytags from positions with hobo loggers (redundancy)</t>
  </si>
  <si>
    <t>L3-edge</t>
  </si>
  <si>
    <t>L2-half</t>
  </si>
  <si>
    <t>broken?</t>
  </si>
  <si>
    <t>removed all "half" loggers</t>
  </si>
  <si>
    <t>SN</t>
  </si>
  <si>
    <t>L7-middle</t>
  </si>
  <si>
    <t>middle</t>
  </si>
  <si>
    <t>Free</t>
  </si>
  <si>
    <t>LN/JR</t>
  </si>
  <si>
    <t>L12-middle</t>
  </si>
  <si>
    <t>L8-middle</t>
  </si>
  <si>
    <t>broken</t>
  </si>
  <si>
    <t>L10-middle</t>
  </si>
  <si>
    <t>LN10_top</t>
  </si>
  <si>
    <t>LN10_bottom</t>
  </si>
  <si>
    <t>t_first_rec_start</t>
  </si>
  <si>
    <t>t_last_rec_end</t>
  </si>
  <si>
    <t>Pulses with max FFT of ca. 11kHz!!!!</t>
  </si>
  <si>
    <t>BP_FFT_high_cutoff</t>
  </si>
  <si>
    <t>13kHz</t>
  </si>
  <si>
    <t>Tracked/Classified</t>
  </si>
  <si>
    <t>High cutoff 13kHz -&gt; Noise detected, clean up events</t>
  </si>
  <si>
    <t>Version</t>
  </si>
  <si>
    <t>Vesion order: 1 (ML-noise reject), 2 (BP, no ML), 3 (new calibration without pulses), 4 (Splitting of large event plots and audio)</t>
  </si>
  <si>
    <t>Phase-locking / co-bursting!</t>
  </si>
  <si>
    <t>running</t>
  </si>
  <si>
    <t>0.02 + 0.04</t>
  </si>
  <si>
    <t>5 - dedup across channels</t>
  </si>
  <si>
    <t>Lost time - corrected via crosscorrelation with L3 file</t>
  </si>
  <si>
    <t>0.01+0.02</t>
  </si>
  <si>
    <t>Lost time, correlated to L8 file, new_first_timestamp: 30/10/2023 10:14</t>
  </si>
  <si>
    <t>Lost time, correlated with L5 file, new first timestamp: 30/10/2023  10:44:30</t>
  </si>
  <si>
    <t>Lost time, correlated with L5 file, new first timestamp: 06/11/2023  11:13:32</t>
  </si>
  <si>
    <t>channel 1 goes dead in file L8-20231121T144747 - maybe due to lightning?? The logger had recorded more than 24h before, removed recordings with dead channel.</t>
  </si>
  <si>
    <t>Lost time, deleted first 10 files as for logger 2 with good timestamp, crosscorr with L2 file, new timestamp: 15/11/2023  13:59:11</t>
  </si>
  <si>
    <t>Lost time, deleted the same number of files as for logger 3; crosscorr with L3 file, new timestamp: 08/11/2023  12:12:33</t>
  </si>
  <si>
    <t>0.02+0.01</t>
  </si>
  <si>
    <t>channel 8 data missing! Tried using 0.01 as threshs, same result</t>
  </si>
  <si>
    <t>tried with 0.01 thresholds, only more noise</t>
  </si>
  <si>
    <t>0.005 + 0.002</t>
  </si>
  <si>
    <t>0.01 + 0.002</t>
  </si>
  <si>
    <t>L10</t>
  </si>
  <si>
    <t>L12</t>
  </si>
  <si>
    <t>L3</t>
  </si>
  <si>
    <t>L4</t>
  </si>
  <si>
    <t>L5</t>
  </si>
  <si>
    <t>L6</t>
  </si>
  <si>
    <t>L7</t>
  </si>
  <si>
    <t>L8</t>
  </si>
  <si>
    <t>L9</t>
  </si>
  <si>
    <t>L11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</si>
</sst>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0"/>
    <numFmt numFmtId="166" formatCode="dd/mm/yyyy\ hh:mm:ss"/>
  </numFmts>
  <fonts count="1" x14ac:knownFonts="1">
    <font>
      <sz val="11"/>
      <color theme="1"/>
      <name val="Calibri"/>
      <family val="2"/>
      <scheme val="minor"/>
    </font>
  </fonts>
  <fills count="9">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2" tint="-0.249977111117893"/>
        <bgColor indexed="64"/>
      </patternFill>
    </fill>
  </fills>
  <borders count="2">
    <border>
      <left/>
      <right/>
      <top/>
      <bottom/>
      <diagonal/>
    </border>
    <border>
      <left/>
      <right/>
      <top/>
      <bottom style="thin">
        <color indexed="64"/>
      </bottom>
      <diagonal/>
    </border>
  </borders>
  <cellStyleXfs count="1">
    <xf numFmtId="0" fontId="0" fillId="0" borderId="0"/>
  </cellStyleXfs>
  <cellXfs count="46">
    <xf numFmtId="0" fontId="0" fillId="0" borderId="0" xfId="0"/>
    <xf numFmtId="14" fontId="0" fillId="0" borderId="0" xfId="0" applyNumberFormat="1"/>
    <xf numFmtId="20" fontId="0" fillId="0" borderId="0" xfId="0" applyNumberFormat="1"/>
    <xf numFmtId="49" fontId="0" fillId="0" borderId="0" xfId="0" applyNumberFormat="1"/>
    <xf numFmtId="164" fontId="0" fillId="0" borderId="0" xfId="0" applyNumberFormat="1"/>
    <xf numFmtId="0" fontId="0" fillId="0" borderId="0" xfId="0" applyNumberFormat="1"/>
    <xf numFmtId="0" fontId="0" fillId="2" borderId="0" xfId="0" applyFill="1"/>
    <xf numFmtId="0" fontId="0" fillId="3" borderId="0" xfId="0" applyFill="1"/>
    <xf numFmtId="1" fontId="0" fillId="0" borderId="0" xfId="0" applyNumberFormat="1"/>
    <xf numFmtId="0" fontId="0" fillId="4" borderId="0" xfId="0" applyFill="1"/>
    <xf numFmtId="14" fontId="0" fillId="4" borderId="0" xfId="0" applyNumberFormat="1" applyFill="1"/>
    <xf numFmtId="0" fontId="0" fillId="5" borderId="0" xfId="0" applyFill="1"/>
    <xf numFmtId="14" fontId="0" fillId="5" borderId="0" xfId="0" applyNumberFormat="1" applyFill="1"/>
    <xf numFmtId="14" fontId="0" fillId="2" borderId="0" xfId="0" applyNumberFormat="1" applyFill="1"/>
    <xf numFmtId="165" fontId="0" fillId="0" borderId="0" xfId="0" applyNumberFormat="1"/>
    <xf numFmtId="22" fontId="0" fillId="0" borderId="0" xfId="0" applyNumberFormat="1"/>
    <xf numFmtId="0" fontId="0" fillId="0" borderId="0" xfId="0" applyFill="1"/>
    <xf numFmtId="20" fontId="0" fillId="2" borderId="0" xfId="0" applyNumberFormat="1" applyFill="1"/>
    <xf numFmtId="20" fontId="0" fillId="4" borderId="0" xfId="0" applyNumberFormat="1" applyFill="1"/>
    <xf numFmtId="0" fontId="0" fillId="6" borderId="0" xfId="0" applyFill="1"/>
    <xf numFmtId="0" fontId="0" fillId="7" borderId="0" xfId="0" applyFill="1"/>
    <xf numFmtId="0" fontId="0" fillId="8" borderId="0" xfId="0" applyFill="1"/>
    <xf numFmtId="166" fontId="0" fillId="0" borderId="0" xfId="0" applyNumberFormat="1"/>
    <xf numFmtId="166" fontId="0" fillId="5" borderId="0" xfId="0" applyNumberFormat="1" applyFill="1"/>
    <xf numFmtId="166" fontId="0" fillId="2" borderId="0" xfId="0" applyNumberFormat="1" applyFill="1"/>
    <xf numFmtId="166" fontId="0" fillId="4" borderId="0" xfId="0" applyNumberFormat="1" applyFill="1"/>
    <xf numFmtId="14" fontId="0" fillId="0" borderId="0" xfId="0" applyNumberFormat="1" applyFill="1"/>
    <xf numFmtId="20" fontId="0" fillId="0" borderId="0" xfId="0" applyNumberFormat="1" applyFill="1"/>
    <xf numFmtId="166" fontId="0" fillId="0" borderId="0" xfId="0" applyNumberFormat="1" applyFill="1"/>
    <xf numFmtId="0" fontId="0" fillId="0" borderId="1" xfId="0" applyBorder="1"/>
    <xf numFmtId="0" fontId="0" fillId="0" borderId="1" xfId="0" applyFill="1" applyBorder="1"/>
    <xf numFmtId="14" fontId="0" fillId="0" borderId="1" xfId="0" applyNumberFormat="1" applyBorder="1"/>
    <xf numFmtId="20" fontId="0" fillId="0" borderId="1" xfId="0" applyNumberFormat="1" applyBorder="1"/>
    <xf numFmtId="166" fontId="0" fillId="0" borderId="1" xfId="0" applyNumberFormat="1" applyBorder="1"/>
    <xf numFmtId="166" fontId="0" fillId="0" borderId="1" xfId="0" applyNumberFormat="1" applyFill="1" applyBorder="1"/>
    <xf numFmtId="0" fontId="0" fillId="0" borderId="0" xfId="0" applyBorder="1"/>
    <xf numFmtId="14" fontId="0" fillId="2" borderId="0" xfId="0" applyNumberFormat="1" applyFill="1" applyBorder="1"/>
    <xf numFmtId="14" fontId="0" fillId="0" borderId="0" xfId="0" applyNumberFormat="1" applyBorder="1"/>
    <xf numFmtId="20" fontId="0" fillId="2" borderId="0" xfId="0" applyNumberFormat="1" applyFill="1" applyBorder="1"/>
    <xf numFmtId="20" fontId="0" fillId="0" borderId="0" xfId="0" applyNumberFormat="1" applyBorder="1"/>
    <xf numFmtId="0" fontId="0" fillId="2" borderId="0" xfId="0" applyFill="1" applyBorder="1"/>
    <xf numFmtId="166" fontId="0" fillId="2" borderId="0" xfId="0" applyNumberFormat="1" applyFill="1" applyBorder="1"/>
    <xf numFmtId="166" fontId="0" fillId="0" borderId="0" xfId="0" applyNumberFormat="1" applyBorder="1"/>
    <xf numFmtId="166" fontId="0" fillId="0" borderId="0" xfId="0" applyNumberFormat="1" applyFill="1" applyBorder="1"/>
    <xf numFmtId="0" fontId="0" fillId="0" borderId="0" xfId="0" applyFill="1" applyBorder="1"/>
    <xf numFmtId="14"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42A5F-3A26-4286-A316-A1C502314EA4}">
  <dimension ref="A1:W86"/>
  <sheetViews>
    <sheetView topLeftCell="A55" workbookViewId="0">
      <selection activeCell="D73" sqref="D73"/>
    </sheetView>
  </sheetViews>
  <sheetFormatPr defaultColWidth="10.85546875" defaultRowHeight="15" x14ac:dyDescent="0.25"/>
  <cols>
    <col min="2" max="2" width="5.140625" bestFit="1" customWidth="1"/>
    <col min="3" max="3" width="10.42578125" bestFit="1" customWidth="1"/>
    <col min="4" max="4" width="10.7109375" bestFit="1" customWidth="1"/>
    <col min="5" max="5" width="5.42578125" bestFit="1" customWidth="1"/>
    <col min="6" max="6" width="5.140625" customWidth="1"/>
    <col min="7" max="7" width="10.140625" bestFit="1" customWidth="1"/>
    <col min="8" max="8" width="12" customWidth="1"/>
    <col min="9" max="9" width="18.140625" style="22" customWidth="1"/>
    <col min="10" max="10" width="18.140625" style="22" bestFit="1" customWidth="1"/>
    <col min="11" max="11" width="6" customWidth="1"/>
    <col min="12" max="12" width="8.140625" customWidth="1"/>
    <col min="13" max="13" width="7.140625" customWidth="1"/>
    <col min="14" max="14" width="7.140625" bestFit="1" customWidth="1"/>
    <col min="15" max="15" width="8.5703125" bestFit="1" customWidth="1"/>
    <col min="16" max="16" width="5.42578125" customWidth="1"/>
    <col min="19" max="19" width="12" bestFit="1" customWidth="1"/>
    <col min="20" max="20" width="12.5703125" bestFit="1" customWidth="1"/>
    <col min="21" max="21" width="12.5703125" customWidth="1"/>
    <col min="23" max="23" width="158.5703125" bestFit="1" customWidth="1"/>
  </cols>
  <sheetData>
    <row r="1" spans="1:23" x14ac:dyDescent="0.25">
      <c r="A1" t="s">
        <v>258</v>
      </c>
      <c r="B1" t="s">
        <v>2</v>
      </c>
      <c r="C1" t="s">
        <v>90</v>
      </c>
      <c r="D1" t="s">
        <v>91</v>
      </c>
      <c r="E1" t="s">
        <v>286</v>
      </c>
      <c r="F1" t="s">
        <v>92</v>
      </c>
      <c r="G1" t="s">
        <v>93</v>
      </c>
      <c r="H1" t="s">
        <v>94</v>
      </c>
      <c r="I1" s="22" t="s">
        <v>331</v>
      </c>
      <c r="J1" s="22" t="s">
        <v>332</v>
      </c>
      <c r="K1" t="s">
        <v>115</v>
      </c>
      <c r="L1" t="s">
        <v>116</v>
      </c>
      <c r="M1" t="s">
        <v>117</v>
      </c>
      <c r="N1" t="s">
        <v>95</v>
      </c>
      <c r="O1" t="s">
        <v>96</v>
      </c>
      <c r="P1" t="s">
        <v>285</v>
      </c>
      <c r="Q1" t="s">
        <v>97</v>
      </c>
      <c r="R1" t="s">
        <v>338</v>
      </c>
      <c r="S1" t="s">
        <v>98</v>
      </c>
      <c r="T1" t="s">
        <v>288</v>
      </c>
      <c r="U1" t="s">
        <v>334</v>
      </c>
      <c r="V1" t="s">
        <v>336</v>
      </c>
      <c r="W1" t="s">
        <v>99</v>
      </c>
    </row>
    <row r="2" spans="1:23" x14ac:dyDescent="0.25">
      <c r="A2" t="s">
        <v>9</v>
      </c>
      <c r="B2" s="11" t="s">
        <v>261</v>
      </c>
      <c r="C2" s="12">
        <v>45203</v>
      </c>
      <c r="D2" s="12">
        <v>45205</v>
      </c>
      <c r="E2" s="12"/>
      <c r="F2" s="11" t="s">
        <v>10</v>
      </c>
      <c r="G2" s="11" t="s">
        <v>100</v>
      </c>
      <c r="H2" s="11" t="s">
        <v>101</v>
      </c>
      <c r="I2" s="23"/>
      <c r="J2" s="23"/>
      <c r="K2" s="11">
        <f>146/6</f>
        <v>24.333333333333332</v>
      </c>
      <c r="L2" s="11">
        <v>10</v>
      </c>
      <c r="M2" s="11">
        <v>0</v>
      </c>
      <c r="N2" s="11" t="s">
        <v>102</v>
      </c>
      <c r="O2" s="11" t="s">
        <v>103</v>
      </c>
      <c r="P2" s="11" t="s">
        <v>103</v>
      </c>
      <c r="Q2" s="11"/>
      <c r="R2" s="11"/>
      <c r="S2" s="11"/>
      <c r="T2" s="11"/>
      <c r="U2" s="11"/>
      <c r="V2" s="11"/>
      <c r="W2" t="s">
        <v>339</v>
      </c>
    </row>
    <row r="3" spans="1:23" x14ac:dyDescent="0.25">
      <c r="A3" t="s">
        <v>52</v>
      </c>
      <c r="B3" t="s">
        <v>262</v>
      </c>
      <c r="C3" s="1">
        <v>45210</v>
      </c>
      <c r="D3" s="1">
        <v>45212</v>
      </c>
      <c r="E3" s="2">
        <v>0.70138888888888884</v>
      </c>
      <c r="F3" t="s">
        <v>10</v>
      </c>
      <c r="G3" t="s">
        <v>107</v>
      </c>
      <c r="H3" t="s">
        <v>106</v>
      </c>
      <c r="I3" s="28">
        <v>45210.711157407408</v>
      </c>
      <c r="J3" s="28">
        <v>45212.113923611112</v>
      </c>
      <c r="K3">
        <f t="shared" ref="K3:K20" si="0">(J3-I3)*24</f>
        <v>33.666388888901565</v>
      </c>
      <c r="L3">
        <v>10</v>
      </c>
      <c r="M3">
        <v>90</v>
      </c>
      <c r="N3" t="s">
        <v>102</v>
      </c>
      <c r="O3" t="s">
        <v>103</v>
      </c>
      <c r="P3" t="s">
        <v>103</v>
      </c>
      <c r="Q3" s="7" t="s">
        <v>103</v>
      </c>
      <c r="R3" s="16" t="s">
        <v>343</v>
      </c>
      <c r="S3" s="16">
        <v>5.0000000000000001E-3</v>
      </c>
      <c r="T3" s="16">
        <v>0.01</v>
      </c>
      <c r="U3" s="16" t="s">
        <v>335</v>
      </c>
      <c r="V3" s="16"/>
      <c r="W3" t="s">
        <v>333</v>
      </c>
    </row>
    <row r="4" spans="1:23" x14ac:dyDescent="0.25">
      <c r="A4" t="s">
        <v>52</v>
      </c>
      <c r="B4" t="s">
        <v>262</v>
      </c>
      <c r="C4" s="1">
        <v>45217</v>
      </c>
      <c r="D4" s="1">
        <v>45219</v>
      </c>
      <c r="E4" s="2">
        <v>0.50694444444444442</v>
      </c>
      <c r="F4" t="s">
        <v>10</v>
      </c>
      <c r="G4" t="s">
        <v>107</v>
      </c>
      <c r="H4" t="s">
        <v>106</v>
      </c>
      <c r="I4" s="28">
        <v>45217.512002314812</v>
      </c>
      <c r="J4" s="28">
        <v>45218.761979166666</v>
      </c>
      <c r="K4">
        <f t="shared" si="0"/>
        <v>29.9994444444892</v>
      </c>
      <c r="L4">
        <v>10</v>
      </c>
      <c r="M4">
        <v>90</v>
      </c>
      <c r="N4" t="s">
        <v>102</v>
      </c>
      <c r="O4" t="s">
        <v>103</v>
      </c>
      <c r="P4" t="s">
        <v>103</v>
      </c>
      <c r="Q4" s="7" t="s">
        <v>103</v>
      </c>
      <c r="R4" s="16" t="s">
        <v>343</v>
      </c>
      <c r="S4" s="16">
        <v>5.0000000000000001E-3</v>
      </c>
      <c r="T4" s="16">
        <v>0.01</v>
      </c>
      <c r="U4" s="16" t="s">
        <v>335</v>
      </c>
      <c r="V4" s="16"/>
      <c r="W4" s="16"/>
    </row>
    <row r="5" spans="1:23" x14ac:dyDescent="0.25">
      <c r="A5" t="s">
        <v>52</v>
      </c>
      <c r="B5" t="s">
        <v>262</v>
      </c>
      <c r="C5" s="1">
        <v>45224</v>
      </c>
      <c r="D5" s="1">
        <v>45226</v>
      </c>
      <c r="E5" s="2">
        <v>0.55555555555555558</v>
      </c>
      <c r="F5" t="s">
        <v>10</v>
      </c>
      <c r="G5" t="s">
        <v>105</v>
      </c>
      <c r="H5" t="s">
        <v>106</v>
      </c>
      <c r="I5" s="22">
        <v>45224.556331018517</v>
      </c>
      <c r="J5" s="22">
        <v>45225.445208333331</v>
      </c>
      <c r="K5">
        <f t="shared" si="0"/>
        <v>21.333055555529427</v>
      </c>
      <c r="L5">
        <v>10</v>
      </c>
      <c r="M5">
        <v>90</v>
      </c>
      <c r="N5" t="s">
        <v>110</v>
      </c>
      <c r="O5" t="s">
        <v>103</v>
      </c>
      <c r="P5" t="s">
        <v>103</v>
      </c>
      <c r="Q5" s="7" t="s">
        <v>103</v>
      </c>
      <c r="R5" s="16" t="s">
        <v>343</v>
      </c>
      <c r="S5" s="16">
        <v>5.0000000000000001E-3</v>
      </c>
      <c r="T5" s="16">
        <v>0.01</v>
      </c>
      <c r="U5" s="16" t="s">
        <v>335</v>
      </c>
      <c r="V5" s="16"/>
    </row>
    <row r="6" spans="1:23" x14ac:dyDescent="0.25">
      <c r="A6" t="s">
        <v>52</v>
      </c>
      <c r="B6" t="s">
        <v>262</v>
      </c>
      <c r="C6" s="1">
        <v>45231</v>
      </c>
      <c r="D6" s="1">
        <v>45233</v>
      </c>
      <c r="E6" s="2">
        <v>0.52777777777777779</v>
      </c>
      <c r="F6" t="s">
        <v>10</v>
      </c>
      <c r="G6" t="s">
        <v>107</v>
      </c>
      <c r="H6" t="s">
        <v>106</v>
      </c>
      <c r="I6" s="22">
        <v>45231.528043981481</v>
      </c>
      <c r="J6" s="22">
        <v>45232.569699074076</v>
      </c>
      <c r="K6">
        <f t="shared" si="0"/>
        <v>24.999722222273704</v>
      </c>
      <c r="L6">
        <v>10</v>
      </c>
      <c r="M6">
        <v>90</v>
      </c>
      <c r="N6" t="s">
        <v>110</v>
      </c>
      <c r="O6" t="s">
        <v>103</v>
      </c>
      <c r="P6" t="s">
        <v>103</v>
      </c>
      <c r="Q6" s="7" t="s">
        <v>103</v>
      </c>
      <c r="R6" s="16" t="s">
        <v>343</v>
      </c>
      <c r="S6" s="16">
        <v>5.0000000000000001E-3</v>
      </c>
      <c r="T6" s="16">
        <v>0.01</v>
      </c>
      <c r="U6" s="16" t="s">
        <v>335</v>
      </c>
      <c r="V6" s="16"/>
      <c r="W6" t="s">
        <v>168</v>
      </c>
    </row>
    <row r="7" spans="1:23" x14ac:dyDescent="0.25">
      <c r="A7" t="s">
        <v>52</v>
      </c>
      <c r="B7" t="s">
        <v>262</v>
      </c>
      <c r="C7" s="1">
        <v>45238</v>
      </c>
      <c r="D7" s="1">
        <v>45240</v>
      </c>
      <c r="E7" s="2">
        <v>0.52777777777777779</v>
      </c>
      <c r="F7" t="s">
        <v>10</v>
      </c>
      <c r="G7" t="s">
        <v>107</v>
      </c>
      <c r="H7" t="s">
        <v>106</v>
      </c>
      <c r="I7" s="22">
        <v>45238.527962962966</v>
      </c>
      <c r="J7" s="22">
        <v>45239.833506944444</v>
      </c>
      <c r="K7">
        <f t="shared" si="0"/>
        <v>31.333055555471219</v>
      </c>
      <c r="L7">
        <v>10</v>
      </c>
      <c r="M7">
        <v>90</v>
      </c>
      <c r="N7" t="s">
        <v>171</v>
      </c>
      <c r="O7" t="s">
        <v>103</v>
      </c>
      <c r="P7" t="s">
        <v>103</v>
      </c>
      <c r="Q7" s="7" t="s">
        <v>103</v>
      </c>
      <c r="R7" s="16" t="s">
        <v>343</v>
      </c>
      <c r="S7" s="16">
        <v>5.0000000000000001E-3</v>
      </c>
      <c r="T7" s="16">
        <v>0.01</v>
      </c>
      <c r="U7" s="16" t="s">
        <v>335</v>
      </c>
      <c r="V7" s="16"/>
    </row>
    <row r="8" spans="1:23" x14ac:dyDescent="0.25">
      <c r="A8" t="s">
        <v>52</v>
      </c>
      <c r="B8" s="6" t="s">
        <v>262</v>
      </c>
      <c r="C8" s="13">
        <v>45245</v>
      </c>
      <c r="D8" s="13">
        <v>45247</v>
      </c>
      <c r="E8" s="17">
        <v>0.57638888888888895</v>
      </c>
      <c r="F8" s="6" t="s">
        <v>10</v>
      </c>
      <c r="G8" s="6" t="s">
        <v>107</v>
      </c>
      <c r="H8" s="6" t="s">
        <v>106</v>
      </c>
      <c r="I8" s="24">
        <v>45245.582766203705</v>
      </c>
      <c r="J8" s="24">
        <v>45246.742488425924</v>
      </c>
      <c r="K8" s="6">
        <f t="shared" si="0"/>
        <v>27.833333333255723</v>
      </c>
      <c r="L8" s="6">
        <v>10</v>
      </c>
      <c r="M8" s="6">
        <v>90</v>
      </c>
      <c r="N8" s="6" t="s">
        <v>171</v>
      </c>
      <c r="O8" s="6" t="s">
        <v>103</v>
      </c>
      <c r="P8" t="s">
        <v>103</v>
      </c>
      <c r="Q8" s="7" t="s">
        <v>103</v>
      </c>
      <c r="R8" s="16" t="s">
        <v>343</v>
      </c>
      <c r="S8" s="16">
        <v>5.0000000000000001E-3</v>
      </c>
      <c r="T8" s="16">
        <v>0.01</v>
      </c>
      <c r="U8" s="16" t="s">
        <v>335</v>
      </c>
      <c r="V8" s="16"/>
      <c r="W8" t="s">
        <v>350</v>
      </c>
    </row>
    <row r="9" spans="1:23" x14ac:dyDescent="0.25">
      <c r="A9" t="s">
        <v>52</v>
      </c>
      <c r="B9" s="6" t="s">
        <v>262</v>
      </c>
      <c r="C9" s="13">
        <v>45252</v>
      </c>
      <c r="D9" s="13">
        <v>45254</v>
      </c>
      <c r="E9" s="17">
        <v>0.68055555555555547</v>
      </c>
      <c r="F9" s="6" t="s">
        <v>10</v>
      </c>
      <c r="G9" s="6" t="s">
        <v>107</v>
      </c>
      <c r="H9" s="6" t="s">
        <v>106</v>
      </c>
      <c r="I9" s="24">
        <v>45252.680300925924</v>
      </c>
      <c r="J9" s="24">
        <v>45253.8747337963</v>
      </c>
      <c r="K9" s="6">
        <f t="shared" si="0"/>
        <v>28.666388889017981</v>
      </c>
      <c r="L9" s="6">
        <v>10</v>
      </c>
      <c r="M9" s="6">
        <v>90</v>
      </c>
      <c r="N9" s="6" t="s">
        <v>209</v>
      </c>
      <c r="O9" s="6" t="s">
        <v>103</v>
      </c>
      <c r="P9" t="s">
        <v>103</v>
      </c>
      <c r="Q9" s="7" t="s">
        <v>103</v>
      </c>
      <c r="R9" s="16" t="s">
        <v>343</v>
      </c>
      <c r="S9" s="16">
        <v>5.0000000000000001E-3</v>
      </c>
      <c r="T9" s="16">
        <v>0.01</v>
      </c>
      <c r="U9" s="16" t="s">
        <v>335</v>
      </c>
      <c r="V9" s="16"/>
      <c r="W9" s="6" t="s">
        <v>227</v>
      </c>
    </row>
    <row r="10" spans="1:23" x14ac:dyDescent="0.25">
      <c r="A10" t="s">
        <v>52</v>
      </c>
      <c r="B10" t="s">
        <v>262</v>
      </c>
      <c r="C10" s="1">
        <v>45257</v>
      </c>
      <c r="D10" s="1">
        <v>45259</v>
      </c>
      <c r="E10" s="2">
        <v>0.59722222222222221</v>
      </c>
      <c r="F10" t="s">
        <v>10</v>
      </c>
      <c r="G10" t="s">
        <v>107</v>
      </c>
      <c r="H10" t="s">
        <v>106</v>
      </c>
      <c r="I10" s="22">
        <v>45257.597372685188</v>
      </c>
      <c r="J10" s="22">
        <v>45258.798750000002</v>
      </c>
      <c r="K10">
        <f t="shared" si="0"/>
        <v>28.833055555529427</v>
      </c>
      <c r="L10">
        <v>10</v>
      </c>
      <c r="M10">
        <v>90</v>
      </c>
      <c r="N10" t="s">
        <v>209</v>
      </c>
      <c r="O10" t="s">
        <v>103</v>
      </c>
      <c r="P10" t="s">
        <v>103</v>
      </c>
      <c r="Q10" s="7" t="s">
        <v>103</v>
      </c>
      <c r="R10" s="16" t="s">
        <v>343</v>
      </c>
      <c r="S10" s="16">
        <v>5.0000000000000001E-3</v>
      </c>
      <c r="T10" s="16">
        <v>0.01</v>
      </c>
      <c r="U10" s="16" t="s">
        <v>335</v>
      </c>
      <c r="V10" s="16"/>
    </row>
    <row r="11" spans="1:23" x14ac:dyDescent="0.25">
      <c r="A11" t="s">
        <v>9</v>
      </c>
      <c r="B11" s="6" t="s">
        <v>85</v>
      </c>
      <c r="C11" s="13">
        <v>45224</v>
      </c>
      <c r="D11" s="13">
        <v>45226</v>
      </c>
      <c r="E11" s="17">
        <v>0.52777777777777779</v>
      </c>
      <c r="F11" s="6" t="s">
        <v>357</v>
      </c>
      <c r="G11" s="6" t="s">
        <v>105</v>
      </c>
      <c r="H11" s="6" t="s">
        <v>106</v>
      </c>
      <c r="I11" s="24">
        <v>45224.532442129632</v>
      </c>
      <c r="J11" s="24">
        <v>45225.171342592592</v>
      </c>
      <c r="K11" s="6">
        <f t="shared" si="0"/>
        <v>15.333611111040227</v>
      </c>
      <c r="L11" s="6">
        <v>10</v>
      </c>
      <c r="M11" s="6">
        <v>60</v>
      </c>
      <c r="N11" s="6" t="s">
        <v>110</v>
      </c>
      <c r="O11" s="6" t="s">
        <v>103</v>
      </c>
      <c r="P11" t="s">
        <v>103</v>
      </c>
      <c r="Q11" s="7" t="s">
        <v>103</v>
      </c>
      <c r="R11" s="16" t="s">
        <v>343</v>
      </c>
      <c r="S11" s="16">
        <v>5.0000000000000001E-3</v>
      </c>
      <c r="T11" s="16">
        <v>0.01</v>
      </c>
      <c r="U11" s="16" t="s">
        <v>335</v>
      </c>
      <c r="V11" s="16"/>
      <c r="W11" t="s">
        <v>287</v>
      </c>
    </row>
    <row r="12" spans="1:23" x14ac:dyDescent="0.25">
      <c r="A12" t="s">
        <v>9</v>
      </c>
      <c r="B12" t="s">
        <v>85</v>
      </c>
      <c r="C12" s="1">
        <v>45231</v>
      </c>
      <c r="D12" s="1">
        <v>45233</v>
      </c>
      <c r="E12" s="2">
        <v>0.51388888888888895</v>
      </c>
      <c r="F12" t="s">
        <v>357</v>
      </c>
      <c r="G12" t="s">
        <v>109</v>
      </c>
      <c r="H12" t="s">
        <v>106</v>
      </c>
      <c r="I12" s="22">
        <v>45231.517847222225</v>
      </c>
      <c r="J12" s="22">
        <v>45232.58730324074</v>
      </c>
      <c r="K12">
        <f t="shared" si="0"/>
        <v>25.666944444354158</v>
      </c>
      <c r="L12">
        <v>10</v>
      </c>
      <c r="M12">
        <v>60</v>
      </c>
      <c r="N12" t="s">
        <v>110</v>
      </c>
      <c r="O12" t="s">
        <v>103</v>
      </c>
      <c r="P12" t="s">
        <v>103</v>
      </c>
      <c r="Q12" s="7" t="s">
        <v>103</v>
      </c>
      <c r="R12" s="16" t="s">
        <v>343</v>
      </c>
      <c r="S12" s="16">
        <v>5.0000000000000001E-3</v>
      </c>
      <c r="T12" s="16">
        <v>0.01</v>
      </c>
      <c r="U12" s="16" t="s">
        <v>335</v>
      </c>
      <c r="V12" s="16"/>
    </row>
    <row r="13" spans="1:23" x14ac:dyDescent="0.25">
      <c r="A13" t="s">
        <v>9</v>
      </c>
      <c r="B13" t="s">
        <v>85</v>
      </c>
      <c r="C13" s="1">
        <v>45238</v>
      </c>
      <c r="D13" s="1">
        <v>45240</v>
      </c>
      <c r="E13" s="2">
        <v>0.50694444444444442</v>
      </c>
      <c r="F13" t="s">
        <v>357</v>
      </c>
      <c r="G13" t="s">
        <v>109</v>
      </c>
      <c r="H13" t="s">
        <v>106</v>
      </c>
      <c r="I13" s="22">
        <v>45238.512407407405</v>
      </c>
      <c r="J13" s="22">
        <v>45239.824930555558</v>
      </c>
      <c r="K13">
        <f t="shared" si="0"/>
        <v>31.500555555685423</v>
      </c>
      <c r="L13">
        <v>10</v>
      </c>
      <c r="M13">
        <v>60</v>
      </c>
      <c r="N13" t="s">
        <v>171</v>
      </c>
      <c r="O13" t="s">
        <v>103</v>
      </c>
      <c r="P13" t="s">
        <v>103</v>
      </c>
      <c r="Q13" s="7" t="s">
        <v>103</v>
      </c>
      <c r="R13" s="16" t="s">
        <v>343</v>
      </c>
      <c r="S13" s="16">
        <v>5.0000000000000001E-3</v>
      </c>
      <c r="T13" s="16">
        <v>0.01</v>
      </c>
      <c r="U13" s="16" t="s">
        <v>335</v>
      </c>
      <c r="V13" s="16"/>
    </row>
    <row r="14" spans="1:23" x14ac:dyDescent="0.25">
      <c r="A14" t="s">
        <v>9</v>
      </c>
      <c r="B14" t="s">
        <v>85</v>
      </c>
      <c r="C14" s="1">
        <v>45245</v>
      </c>
      <c r="D14" s="1">
        <v>45247</v>
      </c>
      <c r="E14" s="2">
        <v>0.54861111111111105</v>
      </c>
      <c r="F14" t="s">
        <v>357</v>
      </c>
      <c r="G14" t="s">
        <v>109</v>
      </c>
      <c r="H14" t="s">
        <v>106</v>
      </c>
      <c r="I14" s="22">
        <v>45245.549722222226</v>
      </c>
      <c r="J14" s="22">
        <v>45246.855300925927</v>
      </c>
      <c r="K14">
        <f t="shared" si="0"/>
        <v>31.333888888824731</v>
      </c>
      <c r="L14">
        <v>10</v>
      </c>
      <c r="M14">
        <v>60</v>
      </c>
      <c r="N14" t="s">
        <v>171</v>
      </c>
      <c r="O14" t="s">
        <v>103</v>
      </c>
      <c r="P14" t="s">
        <v>103</v>
      </c>
      <c r="Q14" s="7" t="s">
        <v>103</v>
      </c>
      <c r="R14" s="16" t="s">
        <v>343</v>
      </c>
      <c r="S14" s="16">
        <v>5.0000000000000001E-3</v>
      </c>
      <c r="T14" s="16">
        <v>0.01</v>
      </c>
      <c r="U14" s="16" t="s">
        <v>335</v>
      </c>
      <c r="V14" s="16"/>
    </row>
    <row r="15" spans="1:23" x14ac:dyDescent="0.25">
      <c r="A15" t="s">
        <v>9</v>
      </c>
      <c r="B15" t="s">
        <v>85</v>
      </c>
      <c r="C15" s="1">
        <v>45252</v>
      </c>
      <c r="D15" s="1">
        <v>45254</v>
      </c>
      <c r="E15" s="2">
        <v>0.63194444444444442</v>
      </c>
      <c r="F15" t="s">
        <v>357</v>
      </c>
      <c r="G15" t="s">
        <v>109</v>
      </c>
      <c r="H15" t="s">
        <v>106</v>
      </c>
      <c r="I15" s="22">
        <v>45252.63181712963</v>
      </c>
      <c r="J15" s="22">
        <v>45253.958240740743</v>
      </c>
      <c r="K15">
        <f t="shared" si="0"/>
        <v>31.83416666672565</v>
      </c>
      <c r="L15">
        <v>10</v>
      </c>
      <c r="M15">
        <v>60</v>
      </c>
      <c r="N15" t="s">
        <v>209</v>
      </c>
      <c r="O15" t="s">
        <v>103</v>
      </c>
      <c r="P15" t="s">
        <v>103</v>
      </c>
      <c r="Q15" s="7" t="s">
        <v>103</v>
      </c>
      <c r="R15" s="16" t="s">
        <v>343</v>
      </c>
      <c r="S15" s="16">
        <v>5.0000000000000001E-3</v>
      </c>
      <c r="T15" s="16">
        <v>0.01</v>
      </c>
      <c r="U15" s="16" t="s">
        <v>335</v>
      </c>
      <c r="V15" s="16"/>
    </row>
    <row r="16" spans="1:23" x14ac:dyDescent="0.25">
      <c r="A16" t="s">
        <v>9</v>
      </c>
      <c r="B16" t="s">
        <v>85</v>
      </c>
      <c r="C16" s="1">
        <v>45257</v>
      </c>
      <c r="D16" s="1">
        <v>45259</v>
      </c>
      <c r="E16" s="2">
        <v>0.5625</v>
      </c>
      <c r="F16" t="s">
        <v>357</v>
      </c>
      <c r="G16" t="s">
        <v>109</v>
      </c>
      <c r="H16" t="s">
        <v>106</v>
      </c>
      <c r="I16" s="22">
        <v>45257.562164351853</v>
      </c>
      <c r="J16" s="22">
        <v>45258.860810185186</v>
      </c>
      <c r="K16">
        <f t="shared" si="0"/>
        <v>31.167499999981374</v>
      </c>
      <c r="L16">
        <v>10</v>
      </c>
      <c r="M16">
        <v>60</v>
      </c>
      <c r="N16" t="s">
        <v>209</v>
      </c>
      <c r="O16" t="s">
        <v>103</v>
      </c>
      <c r="P16" t="s">
        <v>103</v>
      </c>
      <c r="Q16" s="7" t="s">
        <v>341</v>
      </c>
      <c r="R16" s="16" t="s">
        <v>343</v>
      </c>
      <c r="S16" s="16">
        <v>5.0000000000000001E-3</v>
      </c>
      <c r="T16" s="16">
        <v>0.01</v>
      </c>
      <c r="U16" s="16" t="s">
        <v>335</v>
      </c>
      <c r="V16" s="16"/>
    </row>
    <row r="17" spans="1:23" x14ac:dyDescent="0.25">
      <c r="A17" t="s">
        <v>45</v>
      </c>
      <c r="B17" t="s">
        <v>194</v>
      </c>
      <c r="C17" s="1">
        <v>45250</v>
      </c>
      <c r="D17" s="1">
        <v>45252</v>
      </c>
      <c r="E17" s="2">
        <v>0.45833333333333331</v>
      </c>
      <c r="F17" t="s">
        <v>366</v>
      </c>
      <c r="G17" t="s">
        <v>207</v>
      </c>
      <c r="H17" t="s">
        <v>106</v>
      </c>
      <c r="I17" s="22">
        <v>45250.460925925923</v>
      </c>
      <c r="J17" s="22">
        <v>45251.752581018518</v>
      </c>
      <c r="K17">
        <f t="shared" si="0"/>
        <v>30.999722222273704</v>
      </c>
      <c r="L17">
        <v>100</v>
      </c>
      <c r="M17">
        <v>45</v>
      </c>
      <c r="N17" t="s">
        <v>171</v>
      </c>
      <c r="O17" t="s">
        <v>103</v>
      </c>
      <c r="P17" t="s">
        <v>103</v>
      </c>
      <c r="Q17" s="7" t="s">
        <v>103</v>
      </c>
      <c r="R17" s="16" t="s">
        <v>343</v>
      </c>
      <c r="S17" s="16" t="s">
        <v>352</v>
      </c>
      <c r="T17" s="16" t="s">
        <v>352</v>
      </c>
      <c r="U17" s="16" t="s">
        <v>335</v>
      </c>
      <c r="V17" s="16"/>
      <c r="W17" t="s">
        <v>353</v>
      </c>
    </row>
    <row r="18" spans="1:23" x14ac:dyDescent="0.25">
      <c r="A18" t="s">
        <v>45</v>
      </c>
      <c r="B18" t="s">
        <v>216</v>
      </c>
      <c r="C18" s="1">
        <v>45255</v>
      </c>
      <c r="D18" s="1">
        <v>45257</v>
      </c>
      <c r="E18" s="2">
        <v>0.4861111111111111</v>
      </c>
      <c r="F18" t="s">
        <v>366</v>
      </c>
      <c r="G18" t="s">
        <v>105</v>
      </c>
      <c r="H18" t="s">
        <v>106</v>
      </c>
      <c r="I18" s="22">
        <v>45255.487893518519</v>
      </c>
      <c r="J18" s="22">
        <v>45256.710104166668</v>
      </c>
      <c r="K18">
        <f t="shared" si="0"/>
        <v>29.333055555587634</v>
      </c>
      <c r="L18">
        <v>10</v>
      </c>
      <c r="M18">
        <v>60</v>
      </c>
      <c r="N18" t="s">
        <v>209</v>
      </c>
      <c r="O18" t="s">
        <v>103</v>
      </c>
      <c r="P18" t="s">
        <v>103</v>
      </c>
      <c r="Q18" s="7" t="s">
        <v>103</v>
      </c>
      <c r="R18" s="16" t="s">
        <v>343</v>
      </c>
      <c r="S18" s="16" t="s">
        <v>355</v>
      </c>
      <c r="T18" s="16" t="s">
        <v>356</v>
      </c>
      <c r="U18" s="16" t="s">
        <v>335</v>
      </c>
      <c r="W18" t="s">
        <v>226</v>
      </c>
    </row>
    <row r="19" spans="1:23" x14ac:dyDescent="0.25">
      <c r="A19" t="s">
        <v>45</v>
      </c>
      <c r="B19" t="s">
        <v>195</v>
      </c>
      <c r="C19" s="1">
        <v>45250</v>
      </c>
      <c r="D19" s="1">
        <v>45252</v>
      </c>
      <c r="E19" s="2">
        <v>0.47222222222222227</v>
      </c>
      <c r="F19" t="s">
        <v>358</v>
      </c>
      <c r="G19" t="s">
        <v>105</v>
      </c>
      <c r="H19" t="s">
        <v>106</v>
      </c>
      <c r="I19" s="22">
        <v>45250.477164351854</v>
      </c>
      <c r="J19" s="22">
        <v>45252.067442129628</v>
      </c>
      <c r="K19">
        <f t="shared" si="0"/>
        <v>38.166666666569654</v>
      </c>
      <c r="L19">
        <v>100</v>
      </c>
      <c r="M19">
        <v>45</v>
      </c>
      <c r="N19" t="s">
        <v>171</v>
      </c>
      <c r="O19" t="s">
        <v>103</v>
      </c>
      <c r="P19" t="s">
        <v>103</v>
      </c>
      <c r="Q19" s="7" t="s">
        <v>103</v>
      </c>
      <c r="R19" s="16" t="s">
        <v>343</v>
      </c>
      <c r="S19" s="16">
        <v>0.02</v>
      </c>
      <c r="T19" s="16">
        <v>0.02</v>
      </c>
      <c r="U19" s="16" t="s">
        <v>335</v>
      </c>
    </row>
    <row r="20" spans="1:23" x14ac:dyDescent="0.25">
      <c r="A20" t="s">
        <v>42</v>
      </c>
      <c r="B20" t="s">
        <v>223</v>
      </c>
      <c r="C20" s="1">
        <v>45255</v>
      </c>
      <c r="D20" s="1">
        <v>45257</v>
      </c>
      <c r="E20" s="2">
        <v>0.4513888888888889</v>
      </c>
      <c r="F20" t="s">
        <v>358</v>
      </c>
      <c r="G20" t="s">
        <v>270</v>
      </c>
      <c r="H20" t="s">
        <v>106</v>
      </c>
      <c r="I20" s="22">
        <v>45255.453229166669</v>
      </c>
      <c r="J20" s="22">
        <v>45257.022685185184</v>
      </c>
      <c r="K20">
        <f t="shared" si="0"/>
        <v>37.666944444354158</v>
      </c>
      <c r="L20">
        <v>10</v>
      </c>
      <c r="M20">
        <v>60</v>
      </c>
      <c r="N20" t="s">
        <v>209</v>
      </c>
      <c r="O20" t="s">
        <v>103</v>
      </c>
      <c r="P20" t="s">
        <v>103</v>
      </c>
      <c r="Q20" s="7" t="s">
        <v>103</v>
      </c>
      <c r="R20" s="16" t="s">
        <v>343</v>
      </c>
      <c r="S20" s="16">
        <v>5.0000000000000001E-3</v>
      </c>
      <c r="T20" s="16">
        <v>0.01</v>
      </c>
      <c r="U20" s="16" t="s">
        <v>335</v>
      </c>
      <c r="V20" s="16"/>
    </row>
    <row r="21" spans="1:23" x14ac:dyDescent="0.25">
      <c r="A21" t="s">
        <v>9</v>
      </c>
      <c r="B21" s="11" t="s">
        <v>261</v>
      </c>
      <c r="C21" s="12">
        <v>45203</v>
      </c>
      <c r="D21" s="12">
        <v>45205</v>
      </c>
      <c r="E21" s="12"/>
      <c r="F21" s="11" t="s">
        <v>11</v>
      </c>
      <c r="G21" s="11" t="s">
        <v>104</v>
      </c>
      <c r="H21" s="11" t="s">
        <v>101</v>
      </c>
      <c r="I21" s="23"/>
      <c r="J21" s="23"/>
      <c r="K21" s="11">
        <f>205/6</f>
        <v>34.166666666666664</v>
      </c>
      <c r="L21" s="11">
        <v>10</v>
      </c>
      <c r="M21" s="11">
        <v>0</v>
      </c>
      <c r="N21" s="11" t="s">
        <v>102</v>
      </c>
      <c r="O21" s="11" t="s">
        <v>103</v>
      </c>
      <c r="P21" s="11" t="s">
        <v>103</v>
      </c>
      <c r="Q21" s="11"/>
      <c r="R21" s="11"/>
      <c r="S21" s="11"/>
      <c r="T21" s="11"/>
      <c r="U21" s="11"/>
      <c r="V21" s="11"/>
    </row>
    <row r="22" spans="1:23" x14ac:dyDescent="0.25">
      <c r="A22" t="s">
        <v>52</v>
      </c>
      <c r="B22" s="29" t="s">
        <v>262</v>
      </c>
      <c r="C22" s="31">
        <v>45210</v>
      </c>
      <c r="D22" s="31">
        <v>45212</v>
      </c>
      <c r="E22" s="32">
        <v>0.70138888888888884</v>
      </c>
      <c r="F22" s="29" t="s">
        <v>11</v>
      </c>
      <c r="G22" s="29" t="s">
        <v>108</v>
      </c>
      <c r="H22" s="29" t="s">
        <v>106</v>
      </c>
      <c r="I22" s="34">
        <v>45210.620173611111</v>
      </c>
      <c r="J22" s="34">
        <v>45211.946550925924</v>
      </c>
      <c r="K22" s="29">
        <f t="shared" ref="K22:K29" si="1">(J22-I22)*24</f>
        <v>31.833055555529427</v>
      </c>
      <c r="L22" s="29">
        <v>10</v>
      </c>
      <c r="M22" s="29">
        <v>90</v>
      </c>
      <c r="N22" s="29" t="s">
        <v>102</v>
      </c>
      <c r="O22" s="29" t="s">
        <v>103</v>
      </c>
      <c r="P22" s="29" t="s">
        <v>103</v>
      </c>
      <c r="Q22" s="7" t="s">
        <v>103</v>
      </c>
      <c r="R22" s="30" t="s">
        <v>343</v>
      </c>
      <c r="S22" s="30">
        <v>5.0000000000000001E-3</v>
      </c>
      <c r="T22" s="30">
        <v>0.01</v>
      </c>
      <c r="U22" s="30" t="s">
        <v>335</v>
      </c>
      <c r="V22" s="30"/>
      <c r="W22" s="29" t="s">
        <v>340</v>
      </c>
    </row>
    <row r="23" spans="1:23" x14ac:dyDescent="0.25">
      <c r="A23" t="s">
        <v>52</v>
      </c>
      <c r="B23" s="35" t="s">
        <v>262</v>
      </c>
      <c r="C23" s="37">
        <v>45217</v>
      </c>
      <c r="D23" s="37">
        <v>45219</v>
      </c>
      <c r="E23" s="39">
        <v>0.50694444444444442</v>
      </c>
      <c r="F23" s="35" t="s">
        <v>11</v>
      </c>
      <c r="G23" s="35" t="s">
        <v>108</v>
      </c>
      <c r="H23" s="35" t="s">
        <v>106</v>
      </c>
      <c r="I23" s="43">
        <v>45217.512083333335</v>
      </c>
      <c r="J23" s="43">
        <v>45218.838449074072</v>
      </c>
      <c r="K23" s="35">
        <f t="shared" si="1"/>
        <v>31.832777777686715</v>
      </c>
      <c r="L23" s="35">
        <v>10</v>
      </c>
      <c r="M23" s="35">
        <v>90</v>
      </c>
      <c r="N23" s="35" t="s">
        <v>102</v>
      </c>
      <c r="O23" s="35" t="s">
        <v>103</v>
      </c>
      <c r="P23" s="35" t="s">
        <v>103</v>
      </c>
      <c r="Q23" s="7" t="s">
        <v>103</v>
      </c>
      <c r="R23" s="44" t="s">
        <v>343</v>
      </c>
      <c r="S23" s="44">
        <v>5.0000000000000001E-3</v>
      </c>
      <c r="T23" s="44">
        <v>0.01</v>
      </c>
      <c r="U23" s="44" t="s">
        <v>335</v>
      </c>
      <c r="V23" s="44"/>
      <c r="W23" s="44"/>
    </row>
    <row r="24" spans="1:23" x14ac:dyDescent="0.25">
      <c r="A24" t="s">
        <v>52</v>
      </c>
      <c r="B24" t="s">
        <v>262</v>
      </c>
      <c r="C24" s="1">
        <v>45224</v>
      </c>
      <c r="D24" s="1">
        <v>45226</v>
      </c>
      <c r="E24" s="2">
        <v>0.55555555555555558</v>
      </c>
      <c r="F24" t="s">
        <v>11</v>
      </c>
      <c r="G24" t="s">
        <v>105</v>
      </c>
      <c r="H24" t="s">
        <v>106</v>
      </c>
      <c r="I24" s="22">
        <v>45224.562291666669</v>
      </c>
      <c r="J24" s="22">
        <v>45225.548414351855</v>
      </c>
      <c r="K24">
        <f t="shared" si="1"/>
        <v>23.666944444470573</v>
      </c>
      <c r="L24">
        <v>10</v>
      </c>
      <c r="M24">
        <v>90</v>
      </c>
      <c r="N24" t="s">
        <v>110</v>
      </c>
      <c r="O24" t="s">
        <v>103</v>
      </c>
      <c r="P24" t="s">
        <v>103</v>
      </c>
      <c r="Q24" s="7" t="s">
        <v>103</v>
      </c>
      <c r="R24" s="16" t="s">
        <v>343</v>
      </c>
      <c r="S24" s="16">
        <v>5.0000000000000001E-3</v>
      </c>
      <c r="T24" s="16">
        <v>0.01</v>
      </c>
      <c r="U24" s="16" t="s">
        <v>335</v>
      </c>
      <c r="V24" s="16"/>
    </row>
    <row r="25" spans="1:23" x14ac:dyDescent="0.25">
      <c r="A25" t="s">
        <v>52</v>
      </c>
      <c r="B25" t="s">
        <v>262</v>
      </c>
      <c r="C25" s="1">
        <v>45231</v>
      </c>
      <c r="D25" s="1">
        <v>45233</v>
      </c>
      <c r="E25" s="2">
        <v>0.52777777777777779</v>
      </c>
      <c r="F25" t="s">
        <v>11</v>
      </c>
      <c r="G25" t="s">
        <v>108</v>
      </c>
      <c r="H25" t="s">
        <v>106</v>
      </c>
      <c r="I25" s="22">
        <v>45231.529537037037</v>
      </c>
      <c r="J25" s="22">
        <v>45232.793437499997</v>
      </c>
      <c r="K25">
        <f t="shared" si="1"/>
        <v>30.333611111040227</v>
      </c>
      <c r="L25">
        <v>10</v>
      </c>
      <c r="M25">
        <v>90</v>
      </c>
      <c r="N25" t="s">
        <v>110</v>
      </c>
      <c r="O25" t="s">
        <v>103</v>
      </c>
      <c r="P25" t="s">
        <v>103</v>
      </c>
      <c r="Q25" s="7" t="s">
        <v>103</v>
      </c>
      <c r="R25" s="16" t="s">
        <v>343</v>
      </c>
      <c r="S25" s="16">
        <v>5.0000000000000001E-3</v>
      </c>
      <c r="T25" s="16">
        <v>0.01</v>
      </c>
      <c r="U25" s="16" t="s">
        <v>335</v>
      </c>
      <c r="V25" s="16"/>
      <c r="W25" t="s">
        <v>167</v>
      </c>
    </row>
    <row r="26" spans="1:23" x14ac:dyDescent="0.25">
      <c r="A26" t="s">
        <v>52</v>
      </c>
      <c r="B26" t="s">
        <v>262</v>
      </c>
      <c r="C26" s="1">
        <v>45238</v>
      </c>
      <c r="D26" s="1">
        <v>45240</v>
      </c>
      <c r="E26" s="2">
        <v>0.52777777777777779</v>
      </c>
      <c r="F26" t="s">
        <v>11</v>
      </c>
      <c r="G26" t="s">
        <v>108</v>
      </c>
      <c r="H26" t="s">
        <v>106</v>
      </c>
      <c r="I26" s="22">
        <v>45238.528333333335</v>
      </c>
      <c r="J26" s="22">
        <v>45240.097800925927</v>
      </c>
      <c r="K26">
        <f t="shared" si="1"/>
        <v>37.66722222219687</v>
      </c>
      <c r="L26">
        <v>10</v>
      </c>
      <c r="M26">
        <v>90</v>
      </c>
      <c r="N26" t="s">
        <v>171</v>
      </c>
      <c r="O26" t="s">
        <v>103</v>
      </c>
      <c r="P26" t="s">
        <v>103</v>
      </c>
      <c r="Q26" s="7" t="s">
        <v>103</v>
      </c>
      <c r="R26" s="16" t="s">
        <v>343</v>
      </c>
      <c r="S26" s="16">
        <v>5.0000000000000001E-3</v>
      </c>
      <c r="T26" s="16">
        <v>0.01</v>
      </c>
      <c r="U26" s="16" t="s">
        <v>335</v>
      </c>
      <c r="V26" s="16"/>
    </row>
    <row r="27" spans="1:23" x14ac:dyDescent="0.25">
      <c r="A27" t="s">
        <v>52</v>
      </c>
      <c r="B27" t="s">
        <v>262</v>
      </c>
      <c r="C27" s="1">
        <v>45245</v>
      </c>
      <c r="D27" s="1">
        <v>45247</v>
      </c>
      <c r="E27" s="2">
        <v>0.57638888888888895</v>
      </c>
      <c r="F27" t="s">
        <v>11</v>
      </c>
      <c r="G27" t="s">
        <v>108</v>
      </c>
      <c r="H27" t="s">
        <v>106</v>
      </c>
      <c r="I27" s="22">
        <v>45245.582303240742</v>
      </c>
      <c r="J27" s="22">
        <v>45247.151770833334</v>
      </c>
      <c r="K27">
        <f t="shared" si="1"/>
        <v>37.66722222219687</v>
      </c>
      <c r="L27">
        <v>10</v>
      </c>
      <c r="M27">
        <v>90</v>
      </c>
      <c r="N27" t="s">
        <v>171</v>
      </c>
      <c r="O27" t="s">
        <v>103</v>
      </c>
      <c r="P27" t="s">
        <v>103</v>
      </c>
      <c r="Q27" s="7" t="s">
        <v>103</v>
      </c>
      <c r="R27" s="16" t="s">
        <v>343</v>
      </c>
      <c r="S27" s="16">
        <v>5.0000000000000001E-3</v>
      </c>
      <c r="T27" s="16">
        <v>0.01</v>
      </c>
      <c r="U27" s="16" t="s">
        <v>335</v>
      </c>
      <c r="V27" s="16"/>
    </row>
    <row r="28" spans="1:23" x14ac:dyDescent="0.25">
      <c r="A28" t="s">
        <v>52</v>
      </c>
      <c r="B28" t="s">
        <v>262</v>
      </c>
      <c r="C28" s="1">
        <v>45252</v>
      </c>
      <c r="D28" s="1">
        <v>45254</v>
      </c>
      <c r="E28" s="2">
        <v>0.68055555555555547</v>
      </c>
      <c r="F28" t="s">
        <v>11</v>
      </c>
      <c r="G28" t="s">
        <v>108</v>
      </c>
      <c r="H28" t="s">
        <v>106</v>
      </c>
      <c r="I28" s="22">
        <v>45252.673402777778</v>
      </c>
      <c r="J28" s="22">
        <v>45253.985925925925</v>
      </c>
      <c r="K28">
        <f t="shared" si="1"/>
        <v>31.5005555555108</v>
      </c>
      <c r="L28">
        <v>10</v>
      </c>
      <c r="M28">
        <v>90</v>
      </c>
      <c r="N28" t="s">
        <v>209</v>
      </c>
      <c r="O28" t="s">
        <v>103</v>
      </c>
      <c r="P28" t="s">
        <v>103</v>
      </c>
      <c r="Q28" s="7" t="s">
        <v>103</v>
      </c>
      <c r="R28" s="16" t="s">
        <v>343</v>
      </c>
      <c r="S28" s="16">
        <v>5.0000000000000001E-3</v>
      </c>
      <c r="T28" s="16">
        <v>0.01</v>
      </c>
      <c r="U28" s="16" t="s">
        <v>335</v>
      </c>
      <c r="V28" s="16"/>
    </row>
    <row r="29" spans="1:23" x14ac:dyDescent="0.25">
      <c r="A29" t="s">
        <v>52</v>
      </c>
      <c r="B29" s="9" t="s">
        <v>262</v>
      </c>
      <c r="C29" s="10">
        <v>45257</v>
      </c>
      <c r="D29" s="10">
        <v>45259</v>
      </c>
      <c r="E29" s="18">
        <v>0.59722222222222221</v>
      </c>
      <c r="F29" s="9" t="s">
        <v>11</v>
      </c>
      <c r="G29" s="9" t="s">
        <v>108</v>
      </c>
      <c r="H29" s="9" t="s">
        <v>106</v>
      </c>
      <c r="I29" s="25"/>
      <c r="J29" s="25"/>
      <c r="K29" s="9">
        <f t="shared" si="1"/>
        <v>0</v>
      </c>
      <c r="L29" s="9">
        <v>10</v>
      </c>
      <c r="M29" s="9">
        <v>90</v>
      </c>
      <c r="N29" s="9" t="s">
        <v>183</v>
      </c>
      <c r="O29" s="9" t="s">
        <v>183</v>
      </c>
      <c r="P29" s="9" t="s">
        <v>183</v>
      </c>
      <c r="Q29" s="9"/>
      <c r="R29" s="9"/>
      <c r="S29" s="9"/>
      <c r="T29" s="9"/>
      <c r="U29" s="9"/>
      <c r="V29" s="9"/>
      <c r="W29" t="s">
        <v>229</v>
      </c>
    </row>
    <row r="30" spans="1:23" x14ac:dyDescent="0.25">
      <c r="A30" t="s">
        <v>9</v>
      </c>
      <c r="B30" s="11" t="s">
        <v>261</v>
      </c>
      <c r="C30" s="12">
        <v>45205</v>
      </c>
      <c r="D30" s="12">
        <v>45207</v>
      </c>
      <c r="E30" s="12"/>
      <c r="F30" s="11" t="s">
        <v>359</v>
      </c>
      <c r="G30" s="11" t="s">
        <v>100</v>
      </c>
      <c r="H30" s="11" t="s">
        <v>101</v>
      </c>
      <c r="I30" s="23"/>
      <c r="J30" s="23"/>
      <c r="K30" s="11">
        <f>189/6</f>
        <v>31.5</v>
      </c>
      <c r="L30" s="11">
        <v>10</v>
      </c>
      <c r="M30" s="11">
        <v>90</v>
      </c>
      <c r="N30" s="11" t="s">
        <v>102</v>
      </c>
      <c r="O30" s="11" t="s">
        <v>103</v>
      </c>
      <c r="P30" s="11" t="s">
        <v>103</v>
      </c>
      <c r="Q30" s="11"/>
      <c r="R30" s="11"/>
      <c r="S30" s="11"/>
      <c r="T30" s="11"/>
      <c r="U30" s="11"/>
      <c r="V30" s="11"/>
      <c r="W30" s="11" t="s">
        <v>240</v>
      </c>
    </row>
    <row r="31" spans="1:23" x14ac:dyDescent="0.25">
      <c r="A31" t="s">
        <v>9</v>
      </c>
      <c r="B31" t="s">
        <v>261</v>
      </c>
      <c r="C31" s="1">
        <v>45217</v>
      </c>
      <c r="D31" s="1">
        <v>45219</v>
      </c>
      <c r="E31" s="2">
        <v>0.54166666666666663</v>
      </c>
      <c r="F31" t="s">
        <v>359</v>
      </c>
      <c r="G31" t="s">
        <v>108</v>
      </c>
      <c r="H31" t="s">
        <v>106</v>
      </c>
      <c r="I31" s="28">
        <v>45217.540046296293</v>
      </c>
      <c r="J31" s="28">
        <v>45218.810856481483</v>
      </c>
      <c r="K31">
        <f t="shared" ref="K31:K37" si="2">(J31-I31)*24</f>
        <v>30.499444444547407</v>
      </c>
      <c r="L31">
        <v>10</v>
      </c>
      <c r="M31">
        <v>60</v>
      </c>
      <c r="N31" t="s">
        <v>102</v>
      </c>
      <c r="O31" t="s">
        <v>103</v>
      </c>
      <c r="P31" t="s">
        <v>103</v>
      </c>
      <c r="Q31" s="7" t="s">
        <v>103</v>
      </c>
      <c r="R31" s="16" t="s">
        <v>343</v>
      </c>
      <c r="S31" s="16">
        <v>5.0000000000000001E-3</v>
      </c>
      <c r="T31" s="16">
        <v>0.01</v>
      </c>
      <c r="U31" s="16" t="s">
        <v>335</v>
      </c>
      <c r="V31" s="16"/>
    </row>
    <row r="32" spans="1:23" x14ac:dyDescent="0.25">
      <c r="A32" t="s">
        <v>9</v>
      </c>
      <c r="B32" t="s">
        <v>261</v>
      </c>
      <c r="C32" s="1">
        <v>45224</v>
      </c>
      <c r="D32" s="1">
        <v>45226</v>
      </c>
      <c r="E32" s="2">
        <v>0.52083333333333337</v>
      </c>
      <c r="F32" t="s">
        <v>359</v>
      </c>
      <c r="G32" t="s">
        <v>105</v>
      </c>
      <c r="H32" t="s">
        <v>106</v>
      </c>
      <c r="I32" s="22">
        <v>45224.524004629631</v>
      </c>
      <c r="J32" s="22">
        <v>45225.565659722219</v>
      </c>
      <c r="K32">
        <f t="shared" si="2"/>
        <v>24.999722222099081</v>
      </c>
      <c r="L32">
        <v>10</v>
      </c>
      <c r="M32">
        <v>60</v>
      </c>
      <c r="N32" t="s">
        <v>110</v>
      </c>
      <c r="O32" t="s">
        <v>103</v>
      </c>
      <c r="P32" t="s">
        <v>103</v>
      </c>
      <c r="Q32" s="7" t="s">
        <v>103</v>
      </c>
      <c r="R32" s="16" t="s">
        <v>343</v>
      </c>
      <c r="S32" s="16">
        <v>5.0000000000000001E-3</v>
      </c>
      <c r="T32" s="16">
        <v>0.01</v>
      </c>
      <c r="U32" s="16" t="s">
        <v>335</v>
      </c>
      <c r="V32" s="16"/>
    </row>
    <row r="33" spans="1:23" x14ac:dyDescent="0.25">
      <c r="A33" t="s">
        <v>9</v>
      </c>
      <c r="B33" t="s">
        <v>261</v>
      </c>
      <c r="C33" s="1">
        <v>45231</v>
      </c>
      <c r="D33" s="1">
        <v>45233</v>
      </c>
      <c r="E33" s="2">
        <v>0.50694444444444442</v>
      </c>
      <c r="F33" t="s">
        <v>359</v>
      </c>
      <c r="G33" t="s">
        <v>108</v>
      </c>
      <c r="H33" t="s">
        <v>106</v>
      </c>
      <c r="I33" s="22">
        <v>45231.509120370371</v>
      </c>
      <c r="J33" s="22">
        <v>45232.578553240739</v>
      </c>
      <c r="K33">
        <f t="shared" si="2"/>
        <v>25.666388888843358</v>
      </c>
      <c r="L33">
        <v>10</v>
      </c>
      <c r="M33">
        <v>60</v>
      </c>
      <c r="N33" t="s">
        <v>110</v>
      </c>
      <c r="O33" t="s">
        <v>103</v>
      </c>
      <c r="P33" t="s">
        <v>103</v>
      </c>
      <c r="Q33" s="7" t="s">
        <v>103</v>
      </c>
      <c r="R33" s="16" t="s">
        <v>343</v>
      </c>
      <c r="S33" s="16">
        <v>5.0000000000000001E-3</v>
      </c>
      <c r="T33" s="16">
        <v>0.01</v>
      </c>
      <c r="U33" s="16" t="s">
        <v>335</v>
      </c>
      <c r="V33" s="16"/>
    </row>
    <row r="34" spans="1:23" x14ac:dyDescent="0.25">
      <c r="A34" t="s">
        <v>9</v>
      </c>
      <c r="B34" t="s">
        <v>261</v>
      </c>
      <c r="C34" s="1">
        <v>45238</v>
      </c>
      <c r="D34" s="1">
        <v>45240</v>
      </c>
      <c r="E34" s="2">
        <v>0.5</v>
      </c>
      <c r="F34" t="s">
        <v>359</v>
      </c>
      <c r="G34" t="s">
        <v>108</v>
      </c>
      <c r="H34" t="s">
        <v>106</v>
      </c>
      <c r="I34" s="22">
        <v>45238.506041666667</v>
      </c>
      <c r="J34" s="22">
        <v>45239.860196759262</v>
      </c>
      <c r="K34">
        <f t="shared" si="2"/>
        <v>32.499722222273704</v>
      </c>
      <c r="L34">
        <v>10</v>
      </c>
      <c r="M34">
        <v>60</v>
      </c>
      <c r="N34" t="s">
        <v>171</v>
      </c>
      <c r="O34" t="s">
        <v>103</v>
      </c>
      <c r="P34" t="s">
        <v>103</v>
      </c>
      <c r="Q34" s="7" t="s">
        <v>103</v>
      </c>
      <c r="R34" s="16" t="s">
        <v>343</v>
      </c>
      <c r="S34" s="16">
        <v>5.0000000000000001E-3</v>
      </c>
      <c r="T34" s="16">
        <v>0.01</v>
      </c>
      <c r="U34" s="16" t="s">
        <v>335</v>
      </c>
      <c r="V34" s="16"/>
    </row>
    <row r="35" spans="1:23" x14ac:dyDescent="0.25">
      <c r="A35" t="s">
        <v>9</v>
      </c>
      <c r="B35" t="s">
        <v>261</v>
      </c>
      <c r="C35" s="1">
        <v>45245</v>
      </c>
      <c r="D35" s="1">
        <v>45247</v>
      </c>
      <c r="E35" s="2">
        <v>0.54861111111111105</v>
      </c>
      <c r="F35" t="s">
        <v>359</v>
      </c>
      <c r="G35" t="s">
        <v>108</v>
      </c>
      <c r="H35" t="s">
        <v>106</v>
      </c>
      <c r="I35" s="22">
        <v>45245.554861111108</v>
      </c>
      <c r="J35" s="22">
        <v>45246.832627314812</v>
      </c>
      <c r="K35">
        <f t="shared" si="2"/>
        <v>30.666388888901565</v>
      </c>
      <c r="L35">
        <v>10</v>
      </c>
      <c r="M35">
        <v>60</v>
      </c>
      <c r="N35" t="s">
        <v>171</v>
      </c>
      <c r="O35" t="s">
        <v>103</v>
      </c>
      <c r="P35" t="s">
        <v>103</v>
      </c>
      <c r="Q35" s="7" t="s">
        <v>103</v>
      </c>
      <c r="R35" s="16" t="s">
        <v>343</v>
      </c>
      <c r="S35" s="16">
        <v>5.0000000000000001E-3</v>
      </c>
      <c r="T35" s="16">
        <v>0.01</v>
      </c>
      <c r="U35" s="16" t="s">
        <v>335</v>
      </c>
      <c r="V35" s="16"/>
      <c r="W35" t="s">
        <v>184</v>
      </c>
    </row>
    <row r="36" spans="1:23" x14ac:dyDescent="0.25">
      <c r="A36" t="s">
        <v>9</v>
      </c>
      <c r="B36" s="6" t="s">
        <v>261</v>
      </c>
      <c r="C36" s="13">
        <v>45252</v>
      </c>
      <c r="D36" s="13">
        <v>45254</v>
      </c>
      <c r="E36" s="17">
        <v>0.64583333333333337</v>
      </c>
      <c r="F36" s="6" t="s">
        <v>359</v>
      </c>
      <c r="G36" s="6" t="s">
        <v>108</v>
      </c>
      <c r="H36" s="6" t="s">
        <v>106</v>
      </c>
      <c r="I36" s="24">
        <v>45252.645624999997</v>
      </c>
      <c r="J36" s="24">
        <v>45253.992835648147</v>
      </c>
      <c r="K36" s="6">
        <f t="shared" si="2"/>
        <v>32.333055555587634</v>
      </c>
      <c r="L36" s="6">
        <v>10</v>
      </c>
      <c r="M36" s="6">
        <v>60</v>
      </c>
      <c r="N36" s="6" t="s">
        <v>209</v>
      </c>
      <c r="O36" s="6" t="s">
        <v>103</v>
      </c>
      <c r="P36" t="s">
        <v>103</v>
      </c>
      <c r="Q36" s="7" t="s">
        <v>103</v>
      </c>
      <c r="R36" s="16" t="s">
        <v>343</v>
      </c>
      <c r="S36" s="16">
        <v>5.0000000000000001E-3</v>
      </c>
      <c r="T36" s="16">
        <v>0.01</v>
      </c>
      <c r="U36" s="16" t="s">
        <v>335</v>
      </c>
      <c r="V36" s="16"/>
      <c r="W36" s="6" t="s">
        <v>228</v>
      </c>
    </row>
    <row r="37" spans="1:23" x14ac:dyDescent="0.25">
      <c r="A37" t="s">
        <v>9</v>
      </c>
      <c r="B37" t="s">
        <v>261</v>
      </c>
      <c r="C37" s="1">
        <v>45257</v>
      </c>
      <c r="D37" s="1">
        <v>45259</v>
      </c>
      <c r="E37" s="2">
        <v>0.56944444444444442</v>
      </c>
      <c r="F37" t="s">
        <v>359</v>
      </c>
      <c r="G37" t="s">
        <v>108</v>
      </c>
      <c r="H37" t="s">
        <v>106</v>
      </c>
      <c r="I37" s="22">
        <v>45257.568749999999</v>
      </c>
      <c r="J37" s="22">
        <v>45258.881238425929</v>
      </c>
      <c r="K37">
        <f t="shared" si="2"/>
        <v>31.499722222331911</v>
      </c>
      <c r="L37">
        <v>10</v>
      </c>
      <c r="M37">
        <v>60</v>
      </c>
      <c r="N37" t="s">
        <v>209</v>
      </c>
      <c r="O37" t="s">
        <v>103</v>
      </c>
      <c r="P37" t="s">
        <v>103</v>
      </c>
      <c r="Q37" s="7" t="s">
        <v>103</v>
      </c>
      <c r="R37" s="16" t="s">
        <v>343</v>
      </c>
      <c r="S37" s="16">
        <v>5.0000000000000001E-3</v>
      </c>
      <c r="T37" s="16">
        <v>0.01</v>
      </c>
      <c r="U37" s="16" t="s">
        <v>335</v>
      </c>
      <c r="V37" s="16"/>
    </row>
    <row r="38" spans="1:23" x14ac:dyDescent="0.25">
      <c r="A38" t="s">
        <v>9</v>
      </c>
      <c r="B38" s="11" t="s">
        <v>261</v>
      </c>
      <c r="C38" s="12">
        <v>45205</v>
      </c>
      <c r="D38" s="12">
        <v>45205</v>
      </c>
      <c r="E38" s="12"/>
      <c r="F38" s="11" t="s">
        <v>360</v>
      </c>
      <c r="G38" s="11" t="s">
        <v>104</v>
      </c>
      <c r="H38" s="11" t="s">
        <v>101</v>
      </c>
      <c r="I38" s="23"/>
      <c r="J38" s="23"/>
      <c r="K38" s="11">
        <f>222/6</f>
        <v>37</v>
      </c>
      <c r="L38" s="11">
        <v>10</v>
      </c>
      <c r="M38" s="11">
        <v>90</v>
      </c>
      <c r="N38" s="11" t="s">
        <v>102</v>
      </c>
      <c r="O38" s="11" t="s">
        <v>103</v>
      </c>
      <c r="P38" s="11" t="s">
        <v>103</v>
      </c>
      <c r="Q38" s="11"/>
      <c r="R38" s="11"/>
      <c r="S38" s="11"/>
      <c r="T38" s="11"/>
      <c r="U38" s="11"/>
      <c r="V38" s="11"/>
      <c r="W38" s="11" t="s">
        <v>240</v>
      </c>
    </row>
    <row r="39" spans="1:23" x14ac:dyDescent="0.25">
      <c r="A39" t="s">
        <v>9</v>
      </c>
      <c r="B39" t="s">
        <v>261</v>
      </c>
      <c r="C39" s="1">
        <v>45217</v>
      </c>
      <c r="D39" s="1">
        <v>45219</v>
      </c>
      <c r="E39" s="2">
        <v>0.54166666666666663</v>
      </c>
      <c r="F39" t="s">
        <v>360</v>
      </c>
      <c r="G39" t="s">
        <v>107</v>
      </c>
      <c r="H39" t="s">
        <v>106</v>
      </c>
      <c r="I39" s="28">
        <v>45217.540162037039</v>
      </c>
      <c r="J39" s="28">
        <v>45218.852685185186</v>
      </c>
      <c r="K39">
        <f t="shared" ref="K39:K86" si="3">(J39-I39)*24</f>
        <v>31.5005555555108</v>
      </c>
      <c r="L39">
        <v>10</v>
      </c>
      <c r="M39">
        <v>60</v>
      </c>
      <c r="N39" t="s">
        <v>102</v>
      </c>
      <c r="O39" t="s">
        <v>103</v>
      </c>
      <c r="P39" t="s">
        <v>103</v>
      </c>
      <c r="Q39" s="7" t="s">
        <v>103</v>
      </c>
      <c r="R39" s="16" t="s">
        <v>343</v>
      </c>
      <c r="S39" s="16">
        <v>5.0000000000000001E-3</v>
      </c>
      <c r="T39" s="16">
        <v>0.01</v>
      </c>
      <c r="U39" s="16" t="s">
        <v>335</v>
      </c>
      <c r="V39" s="16"/>
    </row>
    <row r="40" spans="1:23" x14ac:dyDescent="0.25">
      <c r="A40" t="s">
        <v>9</v>
      </c>
      <c r="B40" t="s">
        <v>261</v>
      </c>
      <c r="C40" s="1">
        <v>45224</v>
      </c>
      <c r="D40" s="1">
        <v>45226</v>
      </c>
      <c r="E40" s="2">
        <v>0.52083333333333337</v>
      </c>
      <c r="F40" t="s">
        <v>360</v>
      </c>
      <c r="G40" t="s">
        <v>105</v>
      </c>
      <c r="H40" t="s">
        <v>106</v>
      </c>
      <c r="I40" s="22">
        <v>45224.521956018521</v>
      </c>
      <c r="J40" s="22">
        <v>45225.549722222226</v>
      </c>
      <c r="K40">
        <f t="shared" si="3"/>
        <v>24.666388888901565</v>
      </c>
      <c r="L40">
        <v>10</v>
      </c>
      <c r="M40">
        <v>60</v>
      </c>
      <c r="N40" t="s">
        <v>110</v>
      </c>
      <c r="O40" t="s">
        <v>103</v>
      </c>
      <c r="P40" t="s">
        <v>103</v>
      </c>
      <c r="Q40" s="7" t="s">
        <v>103</v>
      </c>
      <c r="R40" s="16" t="s">
        <v>343</v>
      </c>
      <c r="S40" s="16">
        <v>5.0000000000000001E-3</v>
      </c>
      <c r="T40" s="16">
        <v>0.01</v>
      </c>
      <c r="U40" s="16" t="s">
        <v>335</v>
      </c>
      <c r="V40" s="16"/>
    </row>
    <row r="41" spans="1:23" x14ac:dyDescent="0.25">
      <c r="A41" t="s">
        <v>9</v>
      </c>
      <c r="B41" s="6" t="s">
        <v>261</v>
      </c>
      <c r="C41" s="13">
        <v>45231</v>
      </c>
      <c r="D41" s="13">
        <v>45233</v>
      </c>
      <c r="E41" s="17">
        <v>0.50694444444444442</v>
      </c>
      <c r="F41" s="6" t="s">
        <v>360</v>
      </c>
      <c r="G41" s="6" t="s">
        <v>107</v>
      </c>
      <c r="H41" s="6" t="s">
        <v>106</v>
      </c>
      <c r="I41" s="24">
        <v>45231.509016203701</v>
      </c>
      <c r="J41" s="24">
        <v>45232.542997685188</v>
      </c>
      <c r="K41" s="6">
        <f t="shared" si="3"/>
        <v>24.815555555687752</v>
      </c>
      <c r="L41" s="6">
        <v>10</v>
      </c>
      <c r="M41" s="6">
        <v>60</v>
      </c>
      <c r="N41" s="6" t="s">
        <v>110</v>
      </c>
      <c r="O41" s="6" t="s">
        <v>103</v>
      </c>
      <c r="P41" t="s">
        <v>103</v>
      </c>
      <c r="Q41" s="7" t="s">
        <v>103</v>
      </c>
      <c r="R41" s="16" t="s">
        <v>343</v>
      </c>
      <c r="S41" s="16">
        <v>5.0000000000000001E-3</v>
      </c>
      <c r="T41" s="16">
        <v>0.01</v>
      </c>
      <c r="U41" s="16" t="s">
        <v>335</v>
      </c>
      <c r="V41" s="16"/>
      <c r="W41" t="s">
        <v>344</v>
      </c>
    </row>
    <row r="42" spans="1:23" x14ac:dyDescent="0.25">
      <c r="A42" t="s">
        <v>9</v>
      </c>
      <c r="B42" s="6" t="s">
        <v>261</v>
      </c>
      <c r="C42" s="13">
        <v>45238</v>
      </c>
      <c r="D42" s="13">
        <v>45240</v>
      </c>
      <c r="E42" s="17">
        <v>0.5</v>
      </c>
      <c r="F42" s="6" t="s">
        <v>360</v>
      </c>
      <c r="G42" s="6" t="s">
        <v>107</v>
      </c>
      <c r="H42" s="6" t="s">
        <v>106</v>
      </c>
      <c r="I42" s="24">
        <v>45238.508715277778</v>
      </c>
      <c r="J42" s="24">
        <v>45239.682326388887</v>
      </c>
      <c r="K42" s="6">
        <f t="shared" si="3"/>
        <v>28.166666666627862</v>
      </c>
      <c r="L42" s="6">
        <v>10</v>
      </c>
      <c r="M42" s="6">
        <v>60</v>
      </c>
      <c r="N42" s="6" t="s">
        <v>171</v>
      </c>
      <c r="O42" s="6" t="s">
        <v>103</v>
      </c>
      <c r="P42" t="s">
        <v>103</v>
      </c>
      <c r="Q42" s="7" t="s">
        <v>103</v>
      </c>
      <c r="R42" s="16" t="s">
        <v>343</v>
      </c>
      <c r="S42" s="16">
        <v>5.0000000000000001E-3</v>
      </c>
      <c r="T42" s="16">
        <v>0.01</v>
      </c>
      <c r="U42" s="16" t="s">
        <v>335</v>
      </c>
      <c r="V42" s="16"/>
      <c r="W42" t="s">
        <v>351</v>
      </c>
    </row>
    <row r="43" spans="1:23" x14ac:dyDescent="0.25">
      <c r="A43" t="s">
        <v>9</v>
      </c>
      <c r="B43" s="9" t="s">
        <v>261</v>
      </c>
      <c r="C43" s="10">
        <v>45245</v>
      </c>
      <c r="D43" s="10">
        <v>45247</v>
      </c>
      <c r="E43" s="10"/>
      <c r="F43" s="9" t="s">
        <v>360</v>
      </c>
      <c r="G43" s="9" t="s">
        <v>107</v>
      </c>
      <c r="H43" s="9" t="s">
        <v>106</v>
      </c>
      <c r="I43" s="25"/>
      <c r="J43" s="25"/>
      <c r="K43" s="9">
        <f t="shared" si="3"/>
        <v>0</v>
      </c>
      <c r="L43" s="9">
        <v>10</v>
      </c>
      <c r="M43" s="9">
        <v>60</v>
      </c>
      <c r="N43" s="9" t="s">
        <v>183</v>
      </c>
      <c r="O43" s="9" t="s">
        <v>183</v>
      </c>
      <c r="P43" s="9" t="s">
        <v>183</v>
      </c>
      <c r="Q43" s="9"/>
      <c r="R43" s="9"/>
      <c r="S43" s="9"/>
      <c r="T43" s="9"/>
      <c r="U43" s="9"/>
      <c r="V43" s="9"/>
      <c r="W43" t="s">
        <v>190</v>
      </c>
    </row>
    <row r="44" spans="1:23" x14ac:dyDescent="0.25">
      <c r="A44" t="s">
        <v>9</v>
      </c>
      <c r="B44" s="6" t="s">
        <v>261</v>
      </c>
      <c r="C44" s="13">
        <v>45252</v>
      </c>
      <c r="D44" s="13">
        <v>45254</v>
      </c>
      <c r="E44" s="17">
        <v>0.64583333333333337</v>
      </c>
      <c r="F44" s="6" t="s">
        <v>360</v>
      </c>
      <c r="G44" s="6" t="s">
        <v>107</v>
      </c>
      <c r="H44" s="6" t="s">
        <v>106</v>
      </c>
      <c r="I44" s="24">
        <v>45252.64565972222</v>
      </c>
      <c r="J44" s="24">
        <v>45253.916481481479</v>
      </c>
      <c r="K44" s="6">
        <f t="shared" si="3"/>
        <v>30.499722222215496</v>
      </c>
      <c r="L44" s="6">
        <v>10</v>
      </c>
      <c r="M44" s="6">
        <v>60</v>
      </c>
      <c r="N44" s="6" t="s">
        <v>209</v>
      </c>
      <c r="O44" s="6" t="s">
        <v>103</v>
      </c>
      <c r="P44" t="s">
        <v>103</v>
      </c>
      <c r="Q44" s="7" t="s">
        <v>103</v>
      </c>
      <c r="R44" s="16" t="s">
        <v>343</v>
      </c>
      <c r="S44" s="16">
        <v>5.0000000000000001E-3</v>
      </c>
      <c r="T44" s="16">
        <v>0.01</v>
      </c>
      <c r="U44" s="16" t="s">
        <v>335</v>
      </c>
      <c r="V44" s="16"/>
      <c r="W44" s="6" t="s">
        <v>228</v>
      </c>
    </row>
    <row r="45" spans="1:23" x14ac:dyDescent="0.25">
      <c r="A45" t="s">
        <v>9</v>
      </c>
      <c r="B45" t="s">
        <v>261</v>
      </c>
      <c r="C45" s="1">
        <v>45257</v>
      </c>
      <c r="D45" s="1">
        <v>45259</v>
      </c>
      <c r="E45" s="2">
        <v>0.56944444444444442</v>
      </c>
      <c r="F45" t="s">
        <v>360</v>
      </c>
      <c r="G45" t="s">
        <v>107</v>
      </c>
      <c r="H45" t="s">
        <v>106</v>
      </c>
      <c r="I45" s="22">
        <v>45257.570370370369</v>
      </c>
      <c r="J45" s="22">
        <v>45258.841192129628</v>
      </c>
      <c r="K45">
        <f t="shared" si="3"/>
        <v>30.499722222215496</v>
      </c>
      <c r="L45">
        <v>10</v>
      </c>
      <c r="M45">
        <v>60</v>
      </c>
      <c r="N45" t="s">
        <v>209</v>
      </c>
      <c r="O45" t="s">
        <v>103</v>
      </c>
      <c r="P45" t="s">
        <v>103</v>
      </c>
      <c r="Q45" s="7" t="s">
        <v>103</v>
      </c>
      <c r="R45" s="16" t="s">
        <v>343</v>
      </c>
      <c r="S45" s="16">
        <v>5.0000000000000001E-3</v>
      </c>
      <c r="T45" s="16">
        <v>0.01</v>
      </c>
      <c r="U45" s="16" t="s">
        <v>335</v>
      </c>
      <c r="V45" s="16"/>
      <c r="W45" t="s">
        <v>245</v>
      </c>
    </row>
    <row r="46" spans="1:23" x14ac:dyDescent="0.25">
      <c r="A46" t="s">
        <v>42</v>
      </c>
      <c r="B46" t="s">
        <v>284</v>
      </c>
      <c r="C46" s="1">
        <v>45206</v>
      </c>
      <c r="D46" s="1">
        <v>45208</v>
      </c>
      <c r="E46" s="2">
        <v>0.5625</v>
      </c>
      <c r="F46" t="s">
        <v>361</v>
      </c>
      <c r="G46" t="s">
        <v>105</v>
      </c>
      <c r="H46" t="s">
        <v>106</v>
      </c>
      <c r="I46" s="28">
        <v>45206.564444444448</v>
      </c>
      <c r="J46" s="28">
        <v>45207.613078703704</v>
      </c>
      <c r="K46">
        <f t="shared" si="3"/>
        <v>25.167222222138662</v>
      </c>
      <c r="L46">
        <v>100</v>
      </c>
      <c r="M46">
        <v>60</v>
      </c>
      <c r="N46" t="s">
        <v>102</v>
      </c>
      <c r="O46" t="s">
        <v>103</v>
      </c>
      <c r="P46" t="s">
        <v>103</v>
      </c>
      <c r="Q46" s="11"/>
      <c r="R46" s="11"/>
      <c r="S46" s="11"/>
      <c r="T46" s="11"/>
      <c r="U46" s="11"/>
      <c r="V46" s="11"/>
    </row>
    <row r="47" spans="1:23" x14ac:dyDescent="0.25">
      <c r="A47" t="s">
        <v>42</v>
      </c>
      <c r="B47" t="s">
        <v>284</v>
      </c>
      <c r="C47" s="31">
        <v>45210</v>
      </c>
      <c r="D47" s="31">
        <v>45212</v>
      </c>
      <c r="E47" s="32">
        <v>0.39583333333333331</v>
      </c>
      <c r="F47" s="29" t="s">
        <v>361</v>
      </c>
      <c r="G47" s="29" t="s">
        <v>105</v>
      </c>
      <c r="H47" s="29" t="s">
        <v>106</v>
      </c>
      <c r="I47" s="34">
        <v>45210.385462962964</v>
      </c>
      <c r="J47" s="34">
        <v>45211.753541666665</v>
      </c>
      <c r="K47" s="29">
        <f t="shared" si="3"/>
        <v>32.833888888824731</v>
      </c>
      <c r="L47" s="29">
        <v>10</v>
      </c>
      <c r="M47" s="29">
        <v>60</v>
      </c>
      <c r="N47" s="29" t="s">
        <v>102</v>
      </c>
      <c r="O47" s="29" t="s">
        <v>103</v>
      </c>
      <c r="P47" s="29" t="s">
        <v>103</v>
      </c>
      <c r="Q47" s="7" t="s">
        <v>103</v>
      </c>
      <c r="R47" s="30" t="s">
        <v>343</v>
      </c>
      <c r="S47" s="30">
        <v>5.0000000000000001E-3</v>
      </c>
      <c r="T47" s="30">
        <v>0.01</v>
      </c>
      <c r="U47" s="30" t="s">
        <v>335</v>
      </c>
      <c r="V47" s="30"/>
    </row>
    <row r="48" spans="1:23" x14ac:dyDescent="0.25">
      <c r="A48" t="s">
        <v>42</v>
      </c>
      <c r="B48" t="s">
        <v>284</v>
      </c>
      <c r="C48" s="1">
        <v>45215</v>
      </c>
      <c r="D48" s="1">
        <v>45217</v>
      </c>
      <c r="E48" s="2">
        <v>0.43055555555555558</v>
      </c>
      <c r="F48" t="s">
        <v>361</v>
      </c>
      <c r="G48" t="s">
        <v>105</v>
      </c>
      <c r="H48" t="s">
        <v>106</v>
      </c>
      <c r="I48" s="28">
        <v>45215.429189814815</v>
      </c>
      <c r="J48" s="28">
        <v>45216.665312500001</v>
      </c>
      <c r="K48">
        <f t="shared" si="3"/>
        <v>29.666944444470573</v>
      </c>
      <c r="L48">
        <v>10</v>
      </c>
      <c r="M48">
        <v>60</v>
      </c>
      <c r="N48" t="s">
        <v>102</v>
      </c>
      <c r="O48" t="s">
        <v>103</v>
      </c>
      <c r="P48" t="s">
        <v>103</v>
      </c>
      <c r="Q48" s="7" t="s">
        <v>103</v>
      </c>
      <c r="R48" s="16" t="s">
        <v>343</v>
      </c>
      <c r="S48" s="16">
        <v>5.0000000000000001E-3</v>
      </c>
      <c r="T48" s="16">
        <v>0.01</v>
      </c>
      <c r="U48" s="16" t="s">
        <v>335</v>
      </c>
      <c r="V48" s="16"/>
    </row>
    <row r="49" spans="1:23" x14ac:dyDescent="0.25">
      <c r="A49" t="s">
        <v>42</v>
      </c>
      <c r="B49" t="s">
        <v>284</v>
      </c>
      <c r="C49" s="13">
        <v>45222</v>
      </c>
      <c r="D49" s="13">
        <v>45224</v>
      </c>
      <c r="E49" s="17">
        <v>0.41666666666666669</v>
      </c>
      <c r="F49" s="6" t="s">
        <v>361</v>
      </c>
      <c r="G49" s="6" t="s">
        <v>105</v>
      </c>
      <c r="H49" s="6" t="s">
        <v>106</v>
      </c>
      <c r="I49" s="24">
        <v>45222.421354166669</v>
      </c>
      <c r="J49" s="24">
        <v>45223.442199074074</v>
      </c>
      <c r="K49" s="6">
        <f t="shared" si="3"/>
        <v>24.500277777726296</v>
      </c>
      <c r="L49" s="6">
        <v>10</v>
      </c>
      <c r="M49" s="6">
        <v>60</v>
      </c>
      <c r="N49" s="6" t="s">
        <v>110</v>
      </c>
      <c r="O49" s="6" t="s">
        <v>103</v>
      </c>
      <c r="P49" t="s">
        <v>103</v>
      </c>
      <c r="Q49" s="7" t="s">
        <v>103</v>
      </c>
      <c r="R49" s="16" t="s">
        <v>343</v>
      </c>
      <c r="S49" s="16">
        <v>5.0000000000000001E-3</v>
      </c>
      <c r="T49" s="16">
        <v>0.01</v>
      </c>
      <c r="U49" s="16" t="s">
        <v>335</v>
      </c>
      <c r="V49" s="16"/>
      <c r="W49" s="6" t="s">
        <v>239</v>
      </c>
    </row>
    <row r="50" spans="1:23" x14ac:dyDescent="0.25">
      <c r="A50" t="s">
        <v>42</v>
      </c>
      <c r="B50" t="s">
        <v>284</v>
      </c>
      <c r="C50" s="1">
        <v>45229</v>
      </c>
      <c r="D50" s="1">
        <v>45231</v>
      </c>
      <c r="E50" s="2">
        <v>0.44444444444444442</v>
      </c>
      <c r="F50" t="s">
        <v>361</v>
      </c>
      <c r="G50" t="s">
        <v>105</v>
      </c>
      <c r="H50" t="s">
        <v>106</v>
      </c>
      <c r="I50" s="22">
        <v>45229.447210648148</v>
      </c>
      <c r="J50" s="22">
        <v>45230.495833333334</v>
      </c>
      <c r="K50">
        <f t="shared" si="3"/>
        <v>25.166944444470573</v>
      </c>
      <c r="L50">
        <v>10</v>
      </c>
      <c r="M50">
        <v>60</v>
      </c>
      <c r="N50" t="s">
        <v>110</v>
      </c>
      <c r="O50" t="s">
        <v>103</v>
      </c>
      <c r="P50" t="s">
        <v>103</v>
      </c>
      <c r="Q50" s="7" t="s">
        <v>103</v>
      </c>
      <c r="R50" s="16" t="s">
        <v>343</v>
      </c>
      <c r="S50" s="16">
        <v>5.0000000000000001E-3</v>
      </c>
      <c r="T50" s="16">
        <v>0.01</v>
      </c>
      <c r="U50" s="16" t="s">
        <v>335</v>
      </c>
      <c r="V50" s="16"/>
    </row>
    <row r="51" spans="1:23" x14ac:dyDescent="0.25">
      <c r="A51" t="s">
        <v>42</v>
      </c>
      <c r="B51" t="s">
        <v>284</v>
      </c>
      <c r="C51" s="1">
        <v>45236</v>
      </c>
      <c r="D51" s="1">
        <v>45238</v>
      </c>
      <c r="E51" s="2">
        <v>0.46527777777777773</v>
      </c>
      <c r="F51" t="s">
        <v>361</v>
      </c>
      <c r="G51" t="s">
        <v>105</v>
      </c>
      <c r="H51" t="s">
        <v>106</v>
      </c>
      <c r="I51" s="22">
        <v>45236.461840277778</v>
      </c>
      <c r="J51" s="22">
        <v>45237.774363425924</v>
      </c>
      <c r="K51">
        <f t="shared" si="3"/>
        <v>31.5005555555108</v>
      </c>
      <c r="L51">
        <v>10</v>
      </c>
      <c r="M51">
        <v>60</v>
      </c>
      <c r="N51" t="s">
        <v>110</v>
      </c>
      <c r="O51" t="s">
        <v>103</v>
      </c>
      <c r="P51" t="s">
        <v>103</v>
      </c>
      <c r="Q51" s="7" t="s">
        <v>103</v>
      </c>
      <c r="R51" s="16" t="s">
        <v>343</v>
      </c>
      <c r="S51" s="16">
        <v>5.0000000000000001E-3</v>
      </c>
      <c r="T51" s="16">
        <v>0.01</v>
      </c>
      <c r="U51" s="16" t="s">
        <v>335</v>
      </c>
      <c r="V51" s="16"/>
    </row>
    <row r="52" spans="1:23" x14ac:dyDescent="0.25">
      <c r="A52" t="s">
        <v>42</v>
      </c>
      <c r="B52" t="s">
        <v>284</v>
      </c>
      <c r="C52" s="1">
        <v>45243</v>
      </c>
      <c r="D52" s="1">
        <v>45245</v>
      </c>
      <c r="E52" s="2">
        <v>0.47222222222222227</v>
      </c>
      <c r="F52" t="s">
        <v>361</v>
      </c>
      <c r="G52" t="s">
        <v>105</v>
      </c>
      <c r="H52" t="s">
        <v>106</v>
      </c>
      <c r="I52" s="22">
        <v>45243.473217592589</v>
      </c>
      <c r="J52" s="22">
        <v>45244.792685185188</v>
      </c>
      <c r="K52">
        <f t="shared" si="3"/>
        <v>31.667222222371493</v>
      </c>
      <c r="L52">
        <v>10</v>
      </c>
      <c r="M52">
        <v>60</v>
      </c>
      <c r="N52" t="s">
        <v>171</v>
      </c>
      <c r="O52" t="s">
        <v>103</v>
      </c>
      <c r="P52" t="s">
        <v>103</v>
      </c>
      <c r="Q52" s="7" t="s">
        <v>103</v>
      </c>
      <c r="R52" s="16" t="s">
        <v>343</v>
      </c>
      <c r="S52" s="16">
        <v>5.0000000000000001E-3</v>
      </c>
      <c r="T52" s="16">
        <v>0.01</v>
      </c>
      <c r="U52" s="16" t="s">
        <v>335</v>
      </c>
      <c r="V52" s="16"/>
      <c r="W52" s="7" t="s">
        <v>208</v>
      </c>
    </row>
    <row r="53" spans="1:23" x14ac:dyDescent="0.25">
      <c r="A53" t="s">
        <v>42</v>
      </c>
      <c r="B53" t="s">
        <v>284</v>
      </c>
      <c r="C53" s="1">
        <v>45250</v>
      </c>
      <c r="D53" s="1">
        <v>45252</v>
      </c>
      <c r="E53" s="2">
        <v>0.5</v>
      </c>
      <c r="F53" t="s">
        <v>361</v>
      </c>
      <c r="G53" t="s">
        <v>105</v>
      </c>
      <c r="H53" t="s">
        <v>106</v>
      </c>
      <c r="I53" s="22">
        <v>45250.50267361111</v>
      </c>
      <c r="J53" s="22">
        <v>45251.780462962961</v>
      </c>
      <c r="K53">
        <f t="shared" si="3"/>
        <v>30.666944444412366</v>
      </c>
      <c r="L53">
        <v>10</v>
      </c>
      <c r="M53">
        <v>60</v>
      </c>
      <c r="N53" t="s">
        <v>171</v>
      </c>
      <c r="O53" t="s">
        <v>103</v>
      </c>
      <c r="P53" t="s">
        <v>103</v>
      </c>
      <c r="Q53" s="7" t="s">
        <v>103</v>
      </c>
      <c r="R53" s="16" t="s">
        <v>343</v>
      </c>
      <c r="S53" s="16">
        <v>5.0000000000000001E-3</v>
      </c>
      <c r="T53" s="16">
        <v>0.01</v>
      </c>
      <c r="U53" s="16" t="s">
        <v>335</v>
      </c>
    </row>
    <row r="54" spans="1:23" x14ac:dyDescent="0.25">
      <c r="A54" t="s">
        <v>42</v>
      </c>
      <c r="B54" t="s">
        <v>284</v>
      </c>
      <c r="C54" s="1">
        <v>45255</v>
      </c>
      <c r="D54" s="1">
        <v>45257</v>
      </c>
      <c r="E54" s="2">
        <v>0.4375</v>
      </c>
      <c r="F54" t="s">
        <v>361</v>
      </c>
      <c r="G54" t="s">
        <v>105</v>
      </c>
      <c r="H54" t="s">
        <v>106</v>
      </c>
      <c r="I54" s="22">
        <v>45255.437245370369</v>
      </c>
      <c r="J54" s="22">
        <v>45256.742812500001</v>
      </c>
      <c r="K54">
        <f t="shared" si="3"/>
        <v>31.333611111156642</v>
      </c>
      <c r="L54">
        <v>10</v>
      </c>
      <c r="M54">
        <v>60</v>
      </c>
      <c r="N54" t="s">
        <v>209</v>
      </c>
      <c r="O54" t="s">
        <v>103</v>
      </c>
      <c r="P54" t="s">
        <v>103</v>
      </c>
      <c r="Q54" s="7" t="s">
        <v>103</v>
      </c>
      <c r="R54" s="16" t="s">
        <v>343</v>
      </c>
      <c r="S54" s="16">
        <v>5.0000000000000001E-3</v>
      </c>
      <c r="T54" s="16">
        <v>0.01</v>
      </c>
      <c r="U54" s="16" t="s">
        <v>335</v>
      </c>
      <c r="V54" s="16"/>
    </row>
    <row r="55" spans="1:23" x14ac:dyDescent="0.25">
      <c r="A55" t="s">
        <v>42</v>
      </c>
      <c r="B55" t="s">
        <v>284</v>
      </c>
      <c r="C55" s="1">
        <v>45206</v>
      </c>
      <c r="D55" s="1">
        <v>45208</v>
      </c>
      <c r="E55" s="2">
        <v>0.57638888888888895</v>
      </c>
      <c r="F55" t="s">
        <v>362</v>
      </c>
      <c r="G55" t="s">
        <v>270</v>
      </c>
      <c r="H55" t="s">
        <v>106</v>
      </c>
      <c r="I55" s="28">
        <v>45206.578819444447</v>
      </c>
      <c r="J55" s="28">
        <v>45207.891284722224</v>
      </c>
      <c r="K55">
        <f t="shared" si="3"/>
        <v>31.499166666646488</v>
      </c>
      <c r="L55">
        <v>100</v>
      </c>
      <c r="M55">
        <v>60</v>
      </c>
      <c r="N55" t="s">
        <v>102</v>
      </c>
      <c r="O55" t="s">
        <v>103</v>
      </c>
      <c r="P55" t="s">
        <v>103</v>
      </c>
      <c r="Q55" s="11"/>
      <c r="R55" s="11"/>
      <c r="S55" s="11"/>
      <c r="T55" s="11"/>
      <c r="U55" s="11"/>
      <c r="V55" s="11"/>
    </row>
    <row r="56" spans="1:23" x14ac:dyDescent="0.25">
      <c r="A56" t="s">
        <v>42</v>
      </c>
      <c r="B56" t="s">
        <v>284</v>
      </c>
      <c r="C56" s="1">
        <v>45210</v>
      </c>
      <c r="D56" s="1">
        <v>45212</v>
      </c>
      <c r="E56" s="2">
        <v>0.39583333333333331</v>
      </c>
      <c r="F56" t="s">
        <v>362</v>
      </c>
      <c r="G56" t="s">
        <v>270</v>
      </c>
      <c r="H56" t="s">
        <v>106</v>
      </c>
      <c r="I56" s="28">
        <v>45210.4062962963</v>
      </c>
      <c r="J56" s="28">
        <v>45211.704884259256</v>
      </c>
      <c r="K56">
        <f t="shared" si="3"/>
        <v>31.166111110942438</v>
      </c>
      <c r="L56">
        <v>10</v>
      </c>
      <c r="M56">
        <v>60</v>
      </c>
      <c r="N56" t="s">
        <v>102</v>
      </c>
      <c r="O56" t="s">
        <v>103</v>
      </c>
      <c r="P56" t="s">
        <v>103</v>
      </c>
      <c r="Q56" s="7" t="s">
        <v>103</v>
      </c>
      <c r="R56" s="16" t="s">
        <v>343</v>
      </c>
      <c r="S56" s="16">
        <v>5.0000000000000001E-3</v>
      </c>
      <c r="T56" s="16">
        <v>0.01</v>
      </c>
      <c r="U56" s="16" t="s">
        <v>335</v>
      </c>
      <c r="V56" s="16"/>
    </row>
    <row r="57" spans="1:23" x14ac:dyDescent="0.25">
      <c r="A57" t="s">
        <v>42</v>
      </c>
      <c r="B57" t="s">
        <v>284</v>
      </c>
      <c r="C57" s="1">
        <v>45215</v>
      </c>
      <c r="D57" s="1">
        <v>45217</v>
      </c>
      <c r="E57" s="2">
        <v>0.43055555555555558</v>
      </c>
      <c r="F57" t="s">
        <v>362</v>
      </c>
      <c r="G57" t="s">
        <v>270</v>
      </c>
      <c r="H57" t="s">
        <v>106</v>
      </c>
      <c r="I57" s="28">
        <v>45215.428969907407</v>
      </c>
      <c r="J57" s="28">
        <v>45216.741446759261</v>
      </c>
      <c r="K57">
        <f t="shared" si="3"/>
        <v>31.4994444444892</v>
      </c>
      <c r="L57">
        <v>10</v>
      </c>
      <c r="M57">
        <v>60</v>
      </c>
      <c r="N57" t="s">
        <v>102</v>
      </c>
      <c r="O57" t="s">
        <v>103</v>
      </c>
      <c r="P57" t="s">
        <v>103</v>
      </c>
      <c r="Q57" s="7" t="s">
        <v>103</v>
      </c>
      <c r="R57" s="16" t="s">
        <v>343</v>
      </c>
      <c r="S57" s="16">
        <v>5.0000000000000001E-3</v>
      </c>
      <c r="T57" s="16">
        <v>0.01</v>
      </c>
      <c r="U57" s="16" t="s">
        <v>335</v>
      </c>
      <c r="V57" s="16"/>
    </row>
    <row r="58" spans="1:23" x14ac:dyDescent="0.25">
      <c r="A58" t="s">
        <v>42</v>
      </c>
      <c r="B58" t="s">
        <v>284</v>
      </c>
      <c r="C58" s="26">
        <v>45222</v>
      </c>
      <c r="D58" s="26">
        <v>45224</v>
      </c>
      <c r="E58" s="27">
        <v>0.41666666666666669</v>
      </c>
      <c r="F58" s="16" t="s">
        <v>362</v>
      </c>
      <c r="G58" s="16" t="s">
        <v>270</v>
      </c>
      <c r="H58" s="16" t="s">
        <v>106</v>
      </c>
      <c r="I58" s="28">
        <v>45222.420266203706</v>
      </c>
      <c r="J58" s="28">
        <v>45222.593854166669</v>
      </c>
      <c r="K58" s="16">
        <f t="shared" si="3"/>
        <v>4.1661111111170612</v>
      </c>
      <c r="L58" s="16">
        <v>10</v>
      </c>
      <c r="M58" s="16">
        <v>60</v>
      </c>
      <c r="N58" s="16" t="s">
        <v>110</v>
      </c>
      <c r="O58" s="16" t="s">
        <v>103</v>
      </c>
      <c r="P58" t="s">
        <v>103</v>
      </c>
      <c r="Q58" s="7" t="s">
        <v>103</v>
      </c>
      <c r="R58" s="16" t="s">
        <v>343</v>
      </c>
      <c r="S58" s="16">
        <v>5.0000000000000001E-3</v>
      </c>
      <c r="T58" s="16">
        <v>0.01</v>
      </c>
      <c r="U58" s="16" t="s">
        <v>335</v>
      </c>
      <c r="V58" s="16"/>
    </row>
    <row r="59" spans="1:23" x14ac:dyDescent="0.25">
      <c r="A59" t="s">
        <v>42</v>
      </c>
      <c r="B59" t="s">
        <v>284</v>
      </c>
      <c r="C59" s="13">
        <v>45229</v>
      </c>
      <c r="D59" s="13">
        <v>45231</v>
      </c>
      <c r="E59" s="17">
        <v>0.44444444444444442</v>
      </c>
      <c r="F59" s="6" t="s">
        <v>362</v>
      </c>
      <c r="G59" s="6" t="s">
        <v>270</v>
      </c>
      <c r="H59" s="6" t="s">
        <v>106</v>
      </c>
      <c r="I59" s="24">
        <v>45229.447569444441</v>
      </c>
      <c r="J59" s="24">
        <v>45230.468402777777</v>
      </c>
      <c r="K59" s="6">
        <f t="shared" si="3"/>
        <v>24.500000000058208</v>
      </c>
      <c r="L59" s="6">
        <v>10</v>
      </c>
      <c r="M59" s="6">
        <v>60</v>
      </c>
      <c r="N59" s="6" t="s">
        <v>110</v>
      </c>
      <c r="O59" s="6" t="s">
        <v>103</v>
      </c>
      <c r="P59" t="s">
        <v>103</v>
      </c>
      <c r="Q59" s="7" t="s">
        <v>103</v>
      </c>
      <c r="R59" s="16" t="s">
        <v>343</v>
      </c>
      <c r="S59" s="16">
        <v>5.0000000000000001E-3</v>
      </c>
      <c r="T59" s="16">
        <v>0.01</v>
      </c>
      <c r="U59" s="16" t="s">
        <v>335</v>
      </c>
      <c r="V59" s="16"/>
      <c r="W59" t="s">
        <v>347</v>
      </c>
    </row>
    <row r="60" spans="1:23" x14ac:dyDescent="0.25">
      <c r="A60" t="s">
        <v>42</v>
      </c>
      <c r="B60" t="s">
        <v>284</v>
      </c>
      <c r="C60" s="36">
        <v>45236</v>
      </c>
      <c r="D60" s="36">
        <v>45238</v>
      </c>
      <c r="E60" s="38">
        <v>0.46527777777777773</v>
      </c>
      <c r="F60" s="40" t="s">
        <v>362</v>
      </c>
      <c r="G60" s="40" t="s">
        <v>270</v>
      </c>
      <c r="H60" s="40" t="s">
        <v>106</v>
      </c>
      <c r="I60" s="41">
        <v>45236.467731481483</v>
      </c>
      <c r="J60" s="41">
        <v>45237.731620370374</v>
      </c>
      <c r="K60" s="40">
        <f t="shared" si="3"/>
        <v>30.333333333372138</v>
      </c>
      <c r="L60" s="40">
        <v>10</v>
      </c>
      <c r="M60" s="40">
        <v>60</v>
      </c>
      <c r="N60" s="40" t="s">
        <v>110</v>
      </c>
      <c r="O60" s="40" t="s">
        <v>103</v>
      </c>
      <c r="P60" s="35" t="s">
        <v>103</v>
      </c>
      <c r="Q60" s="7" t="s">
        <v>103</v>
      </c>
      <c r="R60" s="44" t="s">
        <v>343</v>
      </c>
      <c r="S60" s="44">
        <v>5.0000000000000001E-3</v>
      </c>
      <c r="T60" s="44">
        <v>0.01</v>
      </c>
      <c r="U60" s="44" t="s">
        <v>335</v>
      </c>
      <c r="V60" s="44"/>
      <c r="W60" t="s">
        <v>348</v>
      </c>
    </row>
    <row r="61" spans="1:23" x14ac:dyDescent="0.25">
      <c r="A61" t="s">
        <v>42</v>
      </c>
      <c r="B61" t="s">
        <v>284</v>
      </c>
      <c r="C61" s="1">
        <v>45243</v>
      </c>
      <c r="D61" s="1">
        <v>45245</v>
      </c>
      <c r="E61" s="2">
        <v>0.47222222222222227</v>
      </c>
      <c r="F61" t="s">
        <v>362</v>
      </c>
      <c r="G61" t="s">
        <v>270</v>
      </c>
      <c r="H61" t="s">
        <v>106</v>
      </c>
      <c r="I61" s="22">
        <v>45243.477777777778</v>
      </c>
      <c r="J61" s="22">
        <v>45244.755532407406</v>
      </c>
      <c r="K61">
        <f t="shared" si="3"/>
        <v>30.666111111058854</v>
      </c>
      <c r="L61">
        <v>10</v>
      </c>
      <c r="M61">
        <v>60</v>
      </c>
      <c r="N61" t="s">
        <v>171</v>
      </c>
      <c r="O61" t="s">
        <v>103</v>
      </c>
      <c r="P61" t="s">
        <v>103</v>
      </c>
      <c r="Q61" s="7" t="s">
        <v>103</v>
      </c>
      <c r="R61" s="16" t="s">
        <v>343</v>
      </c>
      <c r="S61" s="16">
        <v>5.0000000000000001E-3</v>
      </c>
      <c r="T61" s="16">
        <v>0.01</v>
      </c>
      <c r="U61" s="16" t="s">
        <v>335</v>
      </c>
      <c r="V61" s="16"/>
    </row>
    <row r="62" spans="1:23" x14ac:dyDescent="0.25">
      <c r="A62" t="s">
        <v>42</v>
      </c>
      <c r="B62" t="s">
        <v>284</v>
      </c>
      <c r="C62" s="37">
        <v>45250</v>
      </c>
      <c r="D62" s="37">
        <v>45252</v>
      </c>
      <c r="E62" s="39">
        <v>0.5</v>
      </c>
      <c r="F62" s="35" t="s">
        <v>362</v>
      </c>
      <c r="G62" s="35" t="s">
        <v>270</v>
      </c>
      <c r="H62" s="35" t="s">
        <v>106</v>
      </c>
      <c r="I62" s="42">
        <v>45250.502696759257</v>
      </c>
      <c r="J62" s="42">
        <v>45251.73878472222</v>
      </c>
      <c r="K62" s="35">
        <f t="shared" si="3"/>
        <v>29.666111111117061</v>
      </c>
      <c r="L62" s="35">
        <v>10</v>
      </c>
      <c r="M62" s="35">
        <v>60</v>
      </c>
      <c r="N62" s="35" t="s">
        <v>171</v>
      </c>
      <c r="O62" s="35" t="s">
        <v>103</v>
      </c>
      <c r="P62" s="35" t="s">
        <v>103</v>
      </c>
      <c r="Q62" s="7" t="s">
        <v>103</v>
      </c>
      <c r="R62" s="44" t="s">
        <v>343</v>
      </c>
      <c r="S62" s="44">
        <v>5.0000000000000001E-3</v>
      </c>
      <c r="T62" s="44">
        <v>0.01</v>
      </c>
      <c r="U62" s="44" t="s">
        <v>335</v>
      </c>
      <c r="V62" s="44"/>
      <c r="W62" s="35"/>
    </row>
    <row r="63" spans="1:23" x14ac:dyDescent="0.25">
      <c r="A63" t="s">
        <v>42</v>
      </c>
      <c r="B63" t="s">
        <v>284</v>
      </c>
      <c r="C63" s="1">
        <v>45255</v>
      </c>
      <c r="D63" s="1">
        <v>45257</v>
      </c>
      <c r="E63" s="2">
        <v>0.4375</v>
      </c>
      <c r="F63" t="s">
        <v>362</v>
      </c>
      <c r="G63" t="s">
        <v>270</v>
      </c>
      <c r="H63" t="s">
        <v>106</v>
      </c>
      <c r="I63" s="22">
        <v>45255.437592592592</v>
      </c>
      <c r="J63" s="22">
        <v>45256.694513888891</v>
      </c>
      <c r="K63">
        <f t="shared" si="3"/>
        <v>30.166111111175269</v>
      </c>
      <c r="L63">
        <v>10</v>
      </c>
      <c r="M63">
        <v>60</v>
      </c>
      <c r="N63" t="s">
        <v>209</v>
      </c>
      <c r="O63" t="s">
        <v>103</v>
      </c>
      <c r="P63" t="s">
        <v>103</v>
      </c>
      <c r="Q63" s="7" t="s">
        <v>103</v>
      </c>
      <c r="R63" s="16" t="s">
        <v>343</v>
      </c>
      <c r="S63" s="16">
        <v>5.0000000000000001E-3</v>
      </c>
      <c r="T63" s="16">
        <v>0.01</v>
      </c>
      <c r="U63" s="16" t="s">
        <v>335</v>
      </c>
      <c r="V63" s="16"/>
    </row>
    <row r="64" spans="1:23" x14ac:dyDescent="0.25">
      <c r="A64" t="s">
        <v>45</v>
      </c>
      <c r="B64" t="s">
        <v>170</v>
      </c>
      <c r="C64" s="1">
        <v>45208</v>
      </c>
      <c r="D64" s="1">
        <v>45210</v>
      </c>
      <c r="E64" s="2">
        <v>0.47916666666666669</v>
      </c>
      <c r="F64" t="s">
        <v>363</v>
      </c>
      <c r="G64" t="s">
        <v>105</v>
      </c>
      <c r="H64" t="s">
        <v>106</v>
      </c>
      <c r="I64" s="28">
        <v>45208.478182870371</v>
      </c>
      <c r="J64" s="28">
        <v>45209.742094907408</v>
      </c>
      <c r="K64">
        <f t="shared" si="3"/>
        <v>30.333888888882939</v>
      </c>
      <c r="L64">
        <v>100</v>
      </c>
      <c r="M64">
        <v>60</v>
      </c>
      <c r="N64" t="s">
        <v>102</v>
      </c>
      <c r="O64" t="s">
        <v>103</v>
      </c>
      <c r="P64" t="s">
        <v>103</v>
      </c>
      <c r="Q64" s="7" t="s">
        <v>103</v>
      </c>
      <c r="R64" s="16" t="s">
        <v>343</v>
      </c>
      <c r="S64" s="16">
        <v>0.02</v>
      </c>
      <c r="T64" s="16" t="s">
        <v>342</v>
      </c>
      <c r="U64" s="16" t="s">
        <v>335</v>
      </c>
      <c r="V64" s="16"/>
      <c r="W64" t="s">
        <v>337</v>
      </c>
    </row>
    <row r="65" spans="1:23" x14ac:dyDescent="0.25">
      <c r="A65" t="s">
        <v>45</v>
      </c>
      <c r="B65" t="s">
        <v>63</v>
      </c>
      <c r="C65" s="1">
        <v>45215</v>
      </c>
      <c r="D65" s="1">
        <v>45217</v>
      </c>
      <c r="E65" s="2">
        <v>0.39583333333333331</v>
      </c>
      <c r="F65" t="s">
        <v>363</v>
      </c>
      <c r="G65" t="s">
        <v>105</v>
      </c>
      <c r="H65" t="s">
        <v>106</v>
      </c>
      <c r="I65" s="28">
        <v>45215.400196759256</v>
      </c>
      <c r="J65" s="28">
        <v>45216.7266087963</v>
      </c>
      <c r="K65">
        <f t="shared" si="3"/>
        <v>31.833888889057562</v>
      </c>
      <c r="L65">
        <v>100</v>
      </c>
      <c r="M65">
        <v>60</v>
      </c>
      <c r="N65" t="s">
        <v>102</v>
      </c>
      <c r="O65" t="s">
        <v>103</v>
      </c>
      <c r="P65" t="s">
        <v>103</v>
      </c>
      <c r="Q65" s="7" t="s">
        <v>103</v>
      </c>
      <c r="R65" s="16" t="s">
        <v>343</v>
      </c>
      <c r="S65" s="16">
        <v>0.02</v>
      </c>
      <c r="T65" s="16" t="s">
        <v>342</v>
      </c>
      <c r="U65" s="16" t="s">
        <v>335</v>
      </c>
      <c r="V65" s="16"/>
    </row>
    <row r="66" spans="1:23" x14ac:dyDescent="0.25">
      <c r="A66" t="s">
        <v>45</v>
      </c>
      <c r="B66" t="s">
        <v>73</v>
      </c>
      <c r="C66" s="1">
        <v>45222</v>
      </c>
      <c r="D66" s="1">
        <v>45224</v>
      </c>
      <c r="E66" s="2">
        <v>0.39583333333333331</v>
      </c>
      <c r="F66" t="s">
        <v>363</v>
      </c>
      <c r="G66" t="s">
        <v>105</v>
      </c>
      <c r="H66" t="s">
        <v>106</v>
      </c>
      <c r="I66" s="22">
        <v>45222.398206018515</v>
      </c>
      <c r="J66" s="22">
        <v>45223.467673611114</v>
      </c>
      <c r="K66">
        <f t="shared" si="3"/>
        <v>25.667222222371493</v>
      </c>
      <c r="L66">
        <v>100</v>
      </c>
      <c r="M66">
        <v>60</v>
      </c>
      <c r="N66" t="s">
        <v>110</v>
      </c>
      <c r="O66" t="s">
        <v>103</v>
      </c>
      <c r="P66" t="s">
        <v>103</v>
      </c>
      <c r="Q66" s="7" t="s">
        <v>103</v>
      </c>
      <c r="R66" s="16" t="s">
        <v>343</v>
      </c>
      <c r="S66" s="16">
        <v>0.02</v>
      </c>
      <c r="T66" s="16">
        <v>0.02</v>
      </c>
      <c r="U66" s="16" t="s">
        <v>335</v>
      </c>
      <c r="V66" s="16"/>
      <c r="W66" s="9" t="s">
        <v>289</v>
      </c>
    </row>
    <row r="67" spans="1:23" x14ac:dyDescent="0.25">
      <c r="A67" t="s">
        <v>45</v>
      </c>
      <c r="B67" s="6" t="s">
        <v>75</v>
      </c>
      <c r="C67" s="13">
        <v>45229</v>
      </c>
      <c r="D67" s="13">
        <v>45231</v>
      </c>
      <c r="E67" s="17">
        <v>0.4236111111111111</v>
      </c>
      <c r="F67" s="6" t="s">
        <v>363</v>
      </c>
      <c r="G67" s="6" t="s">
        <v>105</v>
      </c>
      <c r="H67" s="6" t="s">
        <v>106</v>
      </c>
      <c r="I67" s="24">
        <v>45229.42701388889</v>
      </c>
      <c r="J67" s="24">
        <v>45230.496458333335</v>
      </c>
      <c r="K67" s="6">
        <f t="shared" si="3"/>
        <v>25.666666666686069</v>
      </c>
      <c r="L67" s="6">
        <v>100</v>
      </c>
      <c r="M67" s="6">
        <v>45</v>
      </c>
      <c r="N67" s="6" t="s">
        <v>110</v>
      </c>
      <c r="O67" s="6" t="s">
        <v>103</v>
      </c>
      <c r="P67" t="s">
        <v>103</v>
      </c>
      <c r="Q67" s="7" t="s">
        <v>103</v>
      </c>
      <c r="R67" s="16" t="s">
        <v>343</v>
      </c>
      <c r="S67" s="16">
        <v>0.02</v>
      </c>
      <c r="T67" s="16">
        <v>0.02</v>
      </c>
      <c r="U67" s="16" t="s">
        <v>335</v>
      </c>
      <c r="V67" s="16"/>
      <c r="W67" t="s">
        <v>346</v>
      </c>
    </row>
    <row r="68" spans="1:23" x14ac:dyDescent="0.25">
      <c r="A68" t="s">
        <v>45</v>
      </c>
      <c r="B68" t="s">
        <v>150</v>
      </c>
      <c r="C68" s="1">
        <v>45236</v>
      </c>
      <c r="D68" s="1">
        <v>45238</v>
      </c>
      <c r="E68" s="2">
        <v>0.40277777777777773</v>
      </c>
      <c r="F68" t="s">
        <v>363</v>
      </c>
      <c r="G68" t="s">
        <v>105</v>
      </c>
      <c r="H68" t="s">
        <v>106</v>
      </c>
      <c r="I68" s="22">
        <v>45236.40483796296</v>
      </c>
      <c r="J68" s="22">
        <v>45237.745138888888</v>
      </c>
      <c r="K68">
        <f t="shared" si="3"/>
        <v>32.167222222255077</v>
      </c>
      <c r="L68">
        <v>100</v>
      </c>
      <c r="M68">
        <v>45</v>
      </c>
      <c r="N68" t="s">
        <v>110</v>
      </c>
      <c r="O68" t="s">
        <v>103</v>
      </c>
      <c r="P68" t="s">
        <v>103</v>
      </c>
      <c r="Q68" s="7" t="s">
        <v>103</v>
      </c>
      <c r="R68" s="16" t="s">
        <v>343</v>
      </c>
      <c r="S68" s="16">
        <v>0.02</v>
      </c>
      <c r="T68" s="16">
        <v>0.02</v>
      </c>
      <c r="U68" s="16" t="s">
        <v>335</v>
      </c>
      <c r="V68" s="16"/>
    </row>
    <row r="69" spans="1:23" x14ac:dyDescent="0.25">
      <c r="A69" t="s">
        <v>45</v>
      </c>
      <c r="B69" t="s">
        <v>176</v>
      </c>
      <c r="C69" s="31">
        <v>45243</v>
      </c>
      <c r="D69" s="31">
        <v>45245</v>
      </c>
      <c r="E69" s="32">
        <v>0.43055555555555558</v>
      </c>
      <c r="F69" s="29" t="s">
        <v>363</v>
      </c>
      <c r="G69" s="29" t="s">
        <v>105</v>
      </c>
      <c r="H69" s="29" t="s">
        <v>106</v>
      </c>
      <c r="I69" s="33">
        <v>45243.434733796297</v>
      </c>
      <c r="J69" s="33">
        <v>45244.78197916667</v>
      </c>
      <c r="K69" s="29">
        <f t="shared" si="3"/>
        <v>32.333888888941146</v>
      </c>
      <c r="L69" s="29">
        <v>100</v>
      </c>
      <c r="M69" s="29">
        <v>45</v>
      </c>
      <c r="N69" s="29" t="s">
        <v>171</v>
      </c>
      <c r="O69" s="29" t="s">
        <v>103</v>
      </c>
      <c r="P69" s="29" t="s">
        <v>103</v>
      </c>
      <c r="Q69" s="7" t="s">
        <v>103</v>
      </c>
      <c r="R69" s="30" t="s">
        <v>343</v>
      </c>
      <c r="S69" s="30">
        <v>0.02</v>
      </c>
      <c r="T69" s="30">
        <v>0.02</v>
      </c>
      <c r="U69" s="30" t="s">
        <v>335</v>
      </c>
      <c r="V69" s="30"/>
      <c r="W69" s="29"/>
    </row>
    <row r="70" spans="1:23" x14ac:dyDescent="0.25">
      <c r="A70" t="s">
        <v>45</v>
      </c>
      <c r="B70" t="s">
        <v>191</v>
      </c>
      <c r="C70" s="1">
        <v>45250</v>
      </c>
      <c r="D70" s="1">
        <v>45252</v>
      </c>
      <c r="E70" s="2">
        <v>0.40972222222222227</v>
      </c>
      <c r="F70" t="s">
        <v>363</v>
      </c>
      <c r="G70" t="s">
        <v>105</v>
      </c>
      <c r="H70" t="s">
        <v>106</v>
      </c>
      <c r="I70" s="22">
        <v>45250.414780092593</v>
      </c>
      <c r="J70" s="22">
        <v>45251.762025462966</v>
      </c>
      <c r="K70">
        <f t="shared" si="3"/>
        <v>32.333888888941146</v>
      </c>
      <c r="L70">
        <v>100</v>
      </c>
      <c r="M70">
        <v>45</v>
      </c>
      <c r="N70" t="s">
        <v>171</v>
      </c>
      <c r="O70" t="s">
        <v>103</v>
      </c>
      <c r="P70" t="s">
        <v>103</v>
      </c>
      <c r="Q70" s="7" t="s">
        <v>103</v>
      </c>
      <c r="R70" s="16" t="s">
        <v>343</v>
      </c>
      <c r="S70" s="16">
        <v>0.02</v>
      </c>
      <c r="T70" s="16">
        <v>0.02</v>
      </c>
      <c r="U70" s="16" t="s">
        <v>335</v>
      </c>
      <c r="V70" s="16"/>
    </row>
    <row r="71" spans="1:23" x14ac:dyDescent="0.25">
      <c r="A71" t="s">
        <v>45</v>
      </c>
      <c r="B71" t="s">
        <v>214</v>
      </c>
      <c r="C71" s="1">
        <v>45255</v>
      </c>
      <c r="D71" s="1">
        <v>45257</v>
      </c>
      <c r="E71" s="2">
        <v>0.3888888888888889</v>
      </c>
      <c r="F71" t="s">
        <v>363</v>
      </c>
      <c r="G71" t="s">
        <v>207</v>
      </c>
      <c r="H71" t="s">
        <v>106</v>
      </c>
      <c r="I71" s="22">
        <v>45255.393958333334</v>
      </c>
      <c r="J71" s="22">
        <v>45256.70648148148</v>
      </c>
      <c r="K71">
        <f t="shared" si="3"/>
        <v>31.5005555555108</v>
      </c>
      <c r="L71">
        <v>100</v>
      </c>
      <c r="M71">
        <v>45</v>
      </c>
      <c r="N71" t="s">
        <v>209</v>
      </c>
      <c r="O71" t="s">
        <v>103</v>
      </c>
      <c r="P71" t="s">
        <v>103</v>
      </c>
      <c r="Q71" s="7" t="s">
        <v>103</v>
      </c>
      <c r="R71" s="16" t="s">
        <v>343</v>
      </c>
      <c r="S71" s="16">
        <v>0.02</v>
      </c>
      <c r="T71" s="16">
        <v>0.02</v>
      </c>
      <c r="U71" s="16" t="s">
        <v>335</v>
      </c>
      <c r="V71" s="16"/>
      <c r="W71" t="s">
        <v>354</v>
      </c>
    </row>
    <row r="72" spans="1:23" x14ac:dyDescent="0.25">
      <c r="A72" t="s">
        <v>45</v>
      </c>
      <c r="B72" s="11" t="s">
        <v>45</v>
      </c>
      <c r="C72" s="12">
        <v>45208</v>
      </c>
      <c r="D72" s="12">
        <v>45210</v>
      </c>
      <c r="E72" s="12"/>
      <c r="F72" s="11" t="s">
        <v>364</v>
      </c>
      <c r="G72" s="11" t="s">
        <v>105</v>
      </c>
      <c r="H72" s="11" t="s">
        <v>106</v>
      </c>
      <c r="I72" s="23">
        <v>45208.478888888887</v>
      </c>
      <c r="J72" s="23">
        <v>45209.791365740741</v>
      </c>
      <c r="K72" s="11">
        <f t="shared" si="3"/>
        <v>31.4994444444892</v>
      </c>
      <c r="L72" s="11">
        <v>100</v>
      </c>
      <c r="M72" s="11">
        <v>60</v>
      </c>
      <c r="N72" s="11" t="s">
        <v>102</v>
      </c>
      <c r="O72" s="11" t="s">
        <v>103</v>
      </c>
      <c r="P72" s="11" t="s">
        <v>103</v>
      </c>
      <c r="Q72" s="11" t="s">
        <v>103</v>
      </c>
      <c r="R72" s="11" t="s">
        <v>343</v>
      </c>
      <c r="S72" s="11">
        <v>0.02</v>
      </c>
      <c r="T72" s="11">
        <v>0.02</v>
      </c>
      <c r="U72" s="11" t="s">
        <v>335</v>
      </c>
      <c r="V72" s="11"/>
    </row>
    <row r="73" spans="1:23" x14ac:dyDescent="0.25">
      <c r="A73" t="s">
        <v>45</v>
      </c>
      <c r="B73" s="11" t="s">
        <v>63</v>
      </c>
      <c r="C73" s="12">
        <v>45215</v>
      </c>
      <c r="D73" s="12">
        <v>45217</v>
      </c>
      <c r="E73" s="12"/>
      <c r="F73" s="11" t="s">
        <v>364</v>
      </c>
      <c r="G73" s="11" t="s">
        <v>105</v>
      </c>
      <c r="H73" s="11" t="s">
        <v>106</v>
      </c>
      <c r="I73" s="23">
        <v>45215.407013888886</v>
      </c>
      <c r="J73" s="23">
        <v>45216.782002314816</v>
      </c>
      <c r="K73" s="11">
        <f t="shared" si="3"/>
        <v>32.999722222331911</v>
      </c>
      <c r="L73" s="11">
        <v>100</v>
      </c>
      <c r="M73" s="11">
        <v>60</v>
      </c>
      <c r="N73" s="11" t="s">
        <v>102</v>
      </c>
      <c r="O73" s="11" t="s">
        <v>103</v>
      </c>
      <c r="P73" s="11" t="s">
        <v>103</v>
      </c>
      <c r="Q73" s="11" t="s">
        <v>103</v>
      </c>
      <c r="R73" s="11" t="s">
        <v>343</v>
      </c>
      <c r="S73" s="11">
        <v>0.02</v>
      </c>
      <c r="T73" s="11">
        <v>0.02</v>
      </c>
      <c r="U73" s="11" t="s">
        <v>335</v>
      </c>
      <c r="V73" s="11"/>
    </row>
    <row r="74" spans="1:23" x14ac:dyDescent="0.25">
      <c r="A74" t="s">
        <v>45</v>
      </c>
      <c r="B74" s="11" t="s">
        <v>73</v>
      </c>
      <c r="C74" s="12">
        <v>45222</v>
      </c>
      <c r="D74" s="12">
        <v>45224</v>
      </c>
      <c r="E74" s="12"/>
      <c r="F74" s="11" t="s">
        <v>364</v>
      </c>
      <c r="G74" s="11" t="s">
        <v>105</v>
      </c>
      <c r="H74" s="11" t="s">
        <v>106</v>
      </c>
      <c r="I74" s="23">
        <v>45222.397800925923</v>
      </c>
      <c r="J74" s="23">
        <v>45223.460277777776</v>
      </c>
      <c r="K74" s="11">
        <f t="shared" si="3"/>
        <v>25.4994444444892</v>
      </c>
      <c r="L74" s="11">
        <v>100</v>
      </c>
      <c r="M74" s="11">
        <v>60</v>
      </c>
      <c r="N74" s="11" t="s">
        <v>110</v>
      </c>
      <c r="O74" s="11" t="s">
        <v>103</v>
      </c>
      <c r="P74" s="11" t="s">
        <v>103</v>
      </c>
      <c r="Q74" s="11" t="s">
        <v>103</v>
      </c>
      <c r="R74" s="11" t="s">
        <v>343</v>
      </c>
      <c r="S74" s="11">
        <v>0.02</v>
      </c>
      <c r="T74" s="11">
        <v>0.02</v>
      </c>
      <c r="U74" s="11" t="s">
        <v>335</v>
      </c>
      <c r="V74" s="11"/>
    </row>
    <row r="75" spans="1:23" x14ac:dyDescent="0.25">
      <c r="A75" t="s">
        <v>45</v>
      </c>
      <c r="B75" s="11" t="s">
        <v>75</v>
      </c>
      <c r="C75" s="12">
        <v>45229</v>
      </c>
      <c r="D75" s="12">
        <v>45231</v>
      </c>
      <c r="E75" s="12"/>
      <c r="F75" s="11" t="s">
        <v>364</v>
      </c>
      <c r="G75" s="11" t="s">
        <v>105</v>
      </c>
      <c r="H75" s="11" t="s">
        <v>106</v>
      </c>
      <c r="I75" s="23">
        <v>45229.427048611113</v>
      </c>
      <c r="J75" s="23">
        <v>45230.482581018521</v>
      </c>
      <c r="K75" s="11">
        <f t="shared" si="3"/>
        <v>25.33277777780313</v>
      </c>
      <c r="L75" s="11">
        <v>100</v>
      </c>
      <c r="M75" s="11">
        <v>45</v>
      </c>
      <c r="N75" s="11" t="s">
        <v>110</v>
      </c>
      <c r="O75" s="11" t="s">
        <v>103</v>
      </c>
      <c r="P75" s="11" t="s">
        <v>103</v>
      </c>
      <c r="Q75" s="11" t="s">
        <v>103</v>
      </c>
      <c r="R75" s="11" t="s">
        <v>343</v>
      </c>
      <c r="S75" s="11">
        <v>0.02</v>
      </c>
      <c r="T75" s="11">
        <v>0.02</v>
      </c>
      <c r="U75" s="11" t="s">
        <v>335</v>
      </c>
      <c r="V75" s="11"/>
    </row>
    <row r="76" spans="1:23" x14ac:dyDescent="0.25">
      <c r="A76" t="s">
        <v>45</v>
      </c>
      <c r="B76" t="s">
        <v>151</v>
      </c>
      <c r="C76" s="1">
        <v>45236</v>
      </c>
      <c r="D76" s="1">
        <v>45238</v>
      </c>
      <c r="E76" s="2">
        <v>0.3888888888888889</v>
      </c>
      <c r="F76" t="s">
        <v>364</v>
      </c>
      <c r="G76" t="s">
        <v>105</v>
      </c>
      <c r="H76" t="s">
        <v>106</v>
      </c>
      <c r="I76" s="22">
        <v>45236.390798611108</v>
      </c>
      <c r="J76" s="22">
        <v>45237.717164351852</v>
      </c>
      <c r="K76">
        <f t="shared" si="3"/>
        <v>31.832777777861338</v>
      </c>
      <c r="L76">
        <v>100</v>
      </c>
      <c r="M76">
        <v>45</v>
      </c>
      <c r="N76" t="s">
        <v>110</v>
      </c>
      <c r="O76" t="s">
        <v>103</v>
      </c>
      <c r="P76" t="s">
        <v>103</v>
      </c>
      <c r="Q76" s="7" t="s">
        <v>103</v>
      </c>
      <c r="R76" s="16" t="s">
        <v>343</v>
      </c>
      <c r="S76" s="16">
        <v>0.02</v>
      </c>
      <c r="T76" s="16">
        <v>0.02</v>
      </c>
      <c r="U76" s="16" t="s">
        <v>335</v>
      </c>
      <c r="V76" s="16"/>
    </row>
    <row r="77" spans="1:23" x14ac:dyDescent="0.25">
      <c r="A77" t="s">
        <v>45</v>
      </c>
      <c r="B77" t="s">
        <v>178</v>
      </c>
      <c r="C77" s="1">
        <v>45243</v>
      </c>
      <c r="D77" s="1">
        <v>45245</v>
      </c>
      <c r="E77" s="2">
        <v>0.41666666666666669</v>
      </c>
      <c r="F77" t="s">
        <v>364</v>
      </c>
      <c r="G77" t="s">
        <v>207</v>
      </c>
      <c r="H77" t="s">
        <v>106</v>
      </c>
      <c r="I77" s="22">
        <v>45243.42224537037</v>
      </c>
      <c r="J77" s="22">
        <v>45244.741678240738</v>
      </c>
      <c r="K77">
        <f t="shared" si="3"/>
        <v>31.666388888843358</v>
      </c>
      <c r="L77">
        <v>100</v>
      </c>
      <c r="M77">
        <v>45</v>
      </c>
      <c r="N77" t="s">
        <v>171</v>
      </c>
      <c r="O77" t="s">
        <v>103</v>
      </c>
      <c r="P77" t="s">
        <v>103</v>
      </c>
      <c r="Q77" s="7" t="s">
        <v>103</v>
      </c>
      <c r="R77" s="16" t="s">
        <v>343</v>
      </c>
      <c r="S77" s="16">
        <v>0.02</v>
      </c>
      <c r="T77" s="16">
        <v>0.02</v>
      </c>
      <c r="U77" s="16" t="s">
        <v>335</v>
      </c>
      <c r="V77" s="16"/>
      <c r="W77" s="7" t="s">
        <v>290</v>
      </c>
    </row>
    <row r="78" spans="1:23" x14ac:dyDescent="0.25">
      <c r="A78" t="s">
        <v>45</v>
      </c>
      <c r="B78" t="s">
        <v>192</v>
      </c>
      <c r="C78" s="1">
        <v>45250</v>
      </c>
      <c r="D78" s="1">
        <v>45252</v>
      </c>
      <c r="E78" s="2">
        <v>0.4236111111111111</v>
      </c>
      <c r="F78" t="s">
        <v>364</v>
      </c>
      <c r="G78" t="s">
        <v>207</v>
      </c>
      <c r="H78" t="s">
        <v>106</v>
      </c>
      <c r="I78" s="22">
        <v>45250.429039351853</v>
      </c>
      <c r="J78" s="22">
        <v>45251.748460648145</v>
      </c>
      <c r="K78">
        <f t="shared" si="3"/>
        <v>31.666111111000646</v>
      </c>
      <c r="L78">
        <v>100</v>
      </c>
      <c r="M78">
        <v>45</v>
      </c>
      <c r="N78" t="s">
        <v>171</v>
      </c>
      <c r="O78" t="s">
        <v>103</v>
      </c>
      <c r="P78" t="s">
        <v>103</v>
      </c>
      <c r="Q78" s="7" t="s">
        <v>103</v>
      </c>
      <c r="R78" s="16" t="s">
        <v>343</v>
      </c>
      <c r="S78" s="16">
        <v>0.02</v>
      </c>
      <c r="T78" s="16">
        <v>0.02</v>
      </c>
      <c r="U78" s="16" t="s">
        <v>335</v>
      </c>
      <c r="V78" s="16"/>
      <c r="W78" t="s">
        <v>349</v>
      </c>
    </row>
    <row r="79" spans="1:23" x14ac:dyDescent="0.25">
      <c r="A79" t="s">
        <v>45</v>
      </c>
      <c r="B79" s="9" t="s">
        <v>211</v>
      </c>
      <c r="C79" s="10">
        <v>45255</v>
      </c>
      <c r="D79" s="10">
        <v>45257</v>
      </c>
      <c r="E79" s="18">
        <v>0.39583333333333331</v>
      </c>
      <c r="F79" s="9" t="s">
        <v>364</v>
      </c>
      <c r="G79" s="9" t="s">
        <v>207</v>
      </c>
      <c r="H79" s="9" t="s">
        <v>106</v>
      </c>
      <c r="I79" s="25"/>
      <c r="J79" s="25"/>
      <c r="K79" s="9">
        <f t="shared" si="3"/>
        <v>0</v>
      </c>
      <c r="L79" s="9">
        <v>100</v>
      </c>
      <c r="M79" s="9">
        <v>45</v>
      </c>
      <c r="N79" s="9" t="s">
        <v>183</v>
      </c>
      <c r="O79" s="9"/>
      <c r="P79" s="9"/>
      <c r="Q79" s="9"/>
      <c r="R79" s="9"/>
      <c r="S79" s="9"/>
      <c r="T79" s="9"/>
      <c r="U79" s="9"/>
      <c r="V79" s="9"/>
      <c r="W79" t="s">
        <v>225</v>
      </c>
    </row>
    <row r="80" spans="1:23" x14ac:dyDescent="0.25">
      <c r="A80" t="s">
        <v>9</v>
      </c>
      <c r="B80" t="s">
        <v>85</v>
      </c>
      <c r="C80" s="1">
        <v>45217</v>
      </c>
      <c r="D80" s="1">
        <v>45219</v>
      </c>
      <c r="E80" s="2">
        <v>0.54861111111111105</v>
      </c>
      <c r="F80" t="s">
        <v>365</v>
      </c>
      <c r="G80" t="s">
        <v>109</v>
      </c>
      <c r="H80" t="s">
        <v>106</v>
      </c>
      <c r="I80" s="28">
        <v>45217.554155092592</v>
      </c>
      <c r="J80" s="28">
        <v>45218.394421296296</v>
      </c>
      <c r="K80">
        <f t="shared" si="3"/>
        <v>20.166388888901565</v>
      </c>
      <c r="L80">
        <v>10</v>
      </c>
      <c r="M80">
        <v>60</v>
      </c>
      <c r="N80" t="s">
        <v>102</v>
      </c>
      <c r="O80" t="s">
        <v>103</v>
      </c>
      <c r="P80" t="s">
        <v>103</v>
      </c>
      <c r="Q80" s="7" t="s">
        <v>103</v>
      </c>
      <c r="R80" s="16" t="s">
        <v>343</v>
      </c>
      <c r="S80" s="16">
        <v>5.0000000000000001E-3</v>
      </c>
      <c r="T80" s="16">
        <v>0.01</v>
      </c>
      <c r="U80" s="16" t="s">
        <v>335</v>
      </c>
      <c r="V80" s="16"/>
    </row>
    <row r="81" spans="1:23" x14ac:dyDescent="0.25">
      <c r="A81" t="s">
        <v>45</v>
      </c>
      <c r="B81" t="s">
        <v>74</v>
      </c>
      <c r="C81" s="1">
        <v>45222</v>
      </c>
      <c r="D81" s="1">
        <v>45224</v>
      </c>
      <c r="E81" s="2">
        <v>0.36805555555555558</v>
      </c>
      <c r="F81" t="s">
        <v>365</v>
      </c>
      <c r="G81" t="s">
        <v>105</v>
      </c>
      <c r="H81" t="s">
        <v>106</v>
      </c>
      <c r="I81" s="28">
        <v>45222.367615740739</v>
      </c>
      <c r="J81" s="28">
        <v>45223.228715277779</v>
      </c>
      <c r="K81">
        <f t="shared" si="3"/>
        <v>20.666388888959773</v>
      </c>
      <c r="L81">
        <v>100</v>
      </c>
      <c r="M81">
        <v>60</v>
      </c>
      <c r="N81" t="s">
        <v>110</v>
      </c>
      <c r="O81" t="s">
        <v>103</v>
      </c>
      <c r="P81" t="s">
        <v>103</v>
      </c>
      <c r="Q81" s="7" t="s">
        <v>103</v>
      </c>
      <c r="R81" s="16" t="s">
        <v>343</v>
      </c>
      <c r="S81" s="16" t="s">
        <v>345</v>
      </c>
      <c r="T81" s="16" t="s">
        <v>345</v>
      </c>
      <c r="U81" s="16" t="s">
        <v>335</v>
      </c>
      <c r="V81" s="16"/>
    </row>
    <row r="82" spans="1:23" x14ac:dyDescent="0.25">
      <c r="A82" t="s">
        <v>45</v>
      </c>
      <c r="B82" t="s">
        <v>76</v>
      </c>
      <c r="C82" s="1">
        <v>45229</v>
      </c>
      <c r="D82" s="1">
        <v>45231</v>
      </c>
      <c r="E82" s="2">
        <v>0.39583333333333331</v>
      </c>
      <c r="F82" t="s">
        <v>365</v>
      </c>
      <c r="G82" t="s">
        <v>207</v>
      </c>
      <c r="H82" t="s">
        <v>106</v>
      </c>
      <c r="I82" s="22">
        <v>45229.393912037034</v>
      </c>
      <c r="J82" s="22">
        <v>45230.664733796293</v>
      </c>
      <c r="K82">
        <f t="shared" si="3"/>
        <v>30.499722222215496</v>
      </c>
      <c r="L82">
        <v>100</v>
      </c>
      <c r="M82">
        <v>30</v>
      </c>
      <c r="N82" t="s">
        <v>110</v>
      </c>
      <c r="O82" t="s">
        <v>103</v>
      </c>
      <c r="P82" t="s">
        <v>103</v>
      </c>
      <c r="Q82" s="7" t="s">
        <v>103</v>
      </c>
      <c r="R82" s="16" t="s">
        <v>343</v>
      </c>
      <c r="S82" s="16">
        <v>0.02</v>
      </c>
      <c r="T82" s="16">
        <v>0.02</v>
      </c>
      <c r="U82" s="16" t="s">
        <v>335</v>
      </c>
      <c r="V82" s="16"/>
    </row>
    <row r="83" spans="1:23" x14ac:dyDescent="0.25">
      <c r="A83" t="s">
        <v>45</v>
      </c>
      <c r="B83" t="s">
        <v>152</v>
      </c>
      <c r="C83" s="1">
        <v>45236</v>
      </c>
      <c r="D83" s="1">
        <v>45238</v>
      </c>
      <c r="E83" s="2">
        <v>0.4513888888888889</v>
      </c>
      <c r="F83" t="s">
        <v>365</v>
      </c>
      <c r="G83" t="s">
        <v>207</v>
      </c>
      <c r="H83" t="s">
        <v>106</v>
      </c>
      <c r="I83" s="22">
        <v>45236.4530787037</v>
      </c>
      <c r="J83" s="22">
        <v>45237.966944444444</v>
      </c>
      <c r="K83">
        <f t="shared" si="3"/>
        <v>36.332777777861338</v>
      </c>
      <c r="L83">
        <v>100</v>
      </c>
      <c r="M83">
        <v>45</v>
      </c>
      <c r="N83" t="s">
        <v>110</v>
      </c>
      <c r="O83" t="s">
        <v>103</v>
      </c>
      <c r="P83" t="s">
        <v>103</v>
      </c>
      <c r="Q83" s="7" t="s">
        <v>103</v>
      </c>
      <c r="R83" s="16" t="s">
        <v>343</v>
      </c>
      <c r="S83" s="16">
        <v>0.02</v>
      </c>
      <c r="T83" s="16">
        <v>0.02</v>
      </c>
      <c r="U83" s="16" t="s">
        <v>335</v>
      </c>
      <c r="V83" s="16"/>
      <c r="W83" t="s">
        <v>169</v>
      </c>
    </row>
    <row r="84" spans="1:23" x14ac:dyDescent="0.25">
      <c r="A84" t="s">
        <v>45</v>
      </c>
      <c r="B84" t="s">
        <v>179</v>
      </c>
      <c r="C84" s="1">
        <v>45243</v>
      </c>
      <c r="D84" s="1">
        <v>45245</v>
      </c>
      <c r="E84" s="2">
        <v>0.45833333333333331</v>
      </c>
      <c r="F84" t="s">
        <v>365</v>
      </c>
      <c r="G84" t="s">
        <v>207</v>
      </c>
      <c r="H84" t="s">
        <v>106</v>
      </c>
      <c r="I84" s="22">
        <v>45243.458460648151</v>
      </c>
      <c r="J84" s="22">
        <v>45245.000115740739</v>
      </c>
      <c r="K84">
        <f t="shared" si="3"/>
        <v>36.999722222099081</v>
      </c>
      <c r="L84">
        <v>100</v>
      </c>
      <c r="M84">
        <v>30</v>
      </c>
      <c r="N84" t="s">
        <v>171</v>
      </c>
      <c r="O84" t="s">
        <v>103</v>
      </c>
      <c r="P84" t="s">
        <v>103</v>
      </c>
      <c r="Q84" s="7" t="s">
        <v>103</v>
      </c>
      <c r="R84" s="16" t="s">
        <v>343</v>
      </c>
      <c r="S84" s="16">
        <v>0.02</v>
      </c>
      <c r="T84" s="16">
        <v>0.02</v>
      </c>
      <c r="U84" s="16" t="s">
        <v>335</v>
      </c>
      <c r="V84" s="16"/>
    </row>
    <row r="85" spans="1:23" x14ac:dyDescent="0.25">
      <c r="A85" t="s">
        <v>45</v>
      </c>
      <c r="B85" t="s">
        <v>193</v>
      </c>
      <c r="C85" s="1">
        <v>45250</v>
      </c>
      <c r="D85" s="1">
        <v>45252</v>
      </c>
      <c r="E85" s="2">
        <v>0.44444444444444442</v>
      </c>
      <c r="F85" t="s">
        <v>365</v>
      </c>
      <c r="G85" t="s">
        <v>105</v>
      </c>
      <c r="H85" t="s">
        <v>106</v>
      </c>
      <c r="I85" s="22">
        <v>45250.450497685182</v>
      </c>
      <c r="J85" s="22">
        <v>45251.9921412037</v>
      </c>
      <c r="K85">
        <f t="shared" si="3"/>
        <v>36.999444444430992</v>
      </c>
      <c r="L85">
        <v>100</v>
      </c>
      <c r="M85">
        <v>45</v>
      </c>
      <c r="N85" t="s">
        <v>171</v>
      </c>
      <c r="O85" t="s">
        <v>103</v>
      </c>
      <c r="P85" t="s">
        <v>103</v>
      </c>
      <c r="Q85" s="7" t="s">
        <v>103</v>
      </c>
      <c r="R85" s="16" t="s">
        <v>343</v>
      </c>
      <c r="S85" s="16">
        <v>0.02</v>
      </c>
      <c r="T85" s="16">
        <v>0.02</v>
      </c>
      <c r="U85" s="16" t="s">
        <v>335</v>
      </c>
      <c r="V85" s="16"/>
    </row>
    <row r="86" spans="1:23" x14ac:dyDescent="0.25">
      <c r="A86" t="s">
        <v>45</v>
      </c>
      <c r="B86" t="s">
        <v>215</v>
      </c>
      <c r="C86" s="1">
        <v>45255</v>
      </c>
      <c r="D86" s="1">
        <v>45257</v>
      </c>
      <c r="E86" s="2">
        <v>0.40972222222222227</v>
      </c>
      <c r="F86" t="s">
        <v>365</v>
      </c>
      <c r="G86" t="s">
        <v>207</v>
      </c>
      <c r="H86" t="s">
        <v>106</v>
      </c>
      <c r="I86" s="22">
        <v>45255.410949074074</v>
      </c>
      <c r="J86" s="22">
        <v>45256.959537037037</v>
      </c>
      <c r="K86">
        <f t="shared" si="3"/>
        <v>37.166111111117061</v>
      </c>
      <c r="L86">
        <v>100</v>
      </c>
      <c r="M86">
        <v>45</v>
      </c>
      <c r="N86" t="s">
        <v>209</v>
      </c>
      <c r="O86" t="s">
        <v>103</v>
      </c>
      <c r="P86" t="s">
        <v>103</v>
      </c>
      <c r="Q86" s="7" t="s">
        <v>103</v>
      </c>
      <c r="R86" s="16" t="s">
        <v>343</v>
      </c>
      <c r="S86" s="16">
        <v>0.02</v>
      </c>
      <c r="T86" s="16">
        <v>0.02</v>
      </c>
      <c r="U86" s="16" t="s">
        <v>335</v>
      </c>
      <c r="W86" t="s">
        <v>354</v>
      </c>
    </row>
  </sheetData>
  <sortState ref="A2:W86">
    <sortCondition ref="F7"/>
  </sortState>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58"/>
  <sheetViews>
    <sheetView tabSelected="1" topLeftCell="A138" workbookViewId="0">
      <selection activeCell="K153" sqref="K153"/>
    </sheetView>
  </sheetViews>
  <sheetFormatPr defaultColWidth="8.85546875" defaultRowHeight="15" x14ac:dyDescent="0.25"/>
  <cols>
    <col min="1" max="1" width="18.140625" customWidth="1"/>
    <col min="11" max="11" width="12.85546875" bestFit="1" customWidth="1"/>
  </cols>
  <sheetData>
    <row r="1" spans="1:13" x14ac:dyDescent="0.25">
      <c r="A1" t="s">
        <v>0</v>
      </c>
      <c r="B1" t="s">
        <v>258</v>
      </c>
      <c r="C1" t="s">
        <v>2</v>
      </c>
      <c r="D1" t="s">
        <v>3</v>
      </c>
      <c r="E1" t="s">
        <v>1</v>
      </c>
      <c r="F1" t="s">
        <v>4</v>
      </c>
      <c r="G1" t="s">
        <v>5</v>
      </c>
      <c r="H1" t="s">
        <v>6</v>
      </c>
      <c r="I1" t="s">
        <v>7</v>
      </c>
      <c r="J1" t="s">
        <v>8</v>
      </c>
      <c r="K1" t="s">
        <v>60</v>
      </c>
      <c r="L1" t="s">
        <v>72</v>
      </c>
      <c r="M1" t="s">
        <v>28</v>
      </c>
    </row>
    <row r="2" spans="1:13" x14ac:dyDescent="0.25">
      <c r="A2" s="1">
        <v>45206</v>
      </c>
      <c r="B2" t="s">
        <v>42</v>
      </c>
      <c r="C2" t="s">
        <v>284</v>
      </c>
      <c r="D2" t="s">
        <v>43</v>
      </c>
      <c r="E2" s="2">
        <v>0.56180555555555556</v>
      </c>
      <c r="F2">
        <v>24.5</v>
      </c>
      <c r="G2">
        <v>81.599999999999994</v>
      </c>
      <c r="H2">
        <v>5.4</v>
      </c>
      <c r="I2">
        <v>25</v>
      </c>
      <c r="J2">
        <v>40</v>
      </c>
    </row>
    <row r="3" spans="1:13" x14ac:dyDescent="0.25">
      <c r="A3" s="1">
        <v>45206</v>
      </c>
      <c r="B3" t="s">
        <v>42</v>
      </c>
      <c r="C3" t="s">
        <v>284</v>
      </c>
      <c r="D3" t="s">
        <v>44</v>
      </c>
      <c r="E3" s="2">
        <v>0.56319444444444444</v>
      </c>
      <c r="F3">
        <v>23.3</v>
      </c>
      <c r="G3">
        <v>97.5</v>
      </c>
      <c r="H3">
        <v>4.8</v>
      </c>
      <c r="I3">
        <v>24</v>
      </c>
      <c r="J3">
        <v>82</v>
      </c>
    </row>
    <row r="4" spans="1:13" x14ac:dyDescent="0.25">
      <c r="A4" s="1">
        <v>45208</v>
      </c>
      <c r="B4" t="s">
        <v>42</v>
      </c>
      <c r="C4" t="s">
        <v>284</v>
      </c>
      <c r="D4" t="s">
        <v>43</v>
      </c>
      <c r="E4" s="2">
        <v>0.43055555555555558</v>
      </c>
      <c r="F4">
        <v>24.5</v>
      </c>
      <c r="G4">
        <v>81.5</v>
      </c>
      <c r="H4">
        <v>5.4</v>
      </c>
      <c r="I4">
        <v>25</v>
      </c>
    </row>
    <row r="5" spans="1:13" x14ac:dyDescent="0.25">
      <c r="A5" s="1">
        <v>45208</v>
      </c>
      <c r="B5" t="s">
        <v>42</v>
      </c>
      <c r="C5" t="s">
        <v>284</v>
      </c>
      <c r="D5" t="s">
        <v>44</v>
      </c>
      <c r="E5" s="2">
        <v>0.43402777777777773</v>
      </c>
      <c r="F5">
        <v>23.3</v>
      </c>
      <c r="G5">
        <v>89.9</v>
      </c>
      <c r="H5">
        <v>4.7</v>
      </c>
      <c r="I5">
        <v>23</v>
      </c>
    </row>
    <row r="6" spans="1:13" x14ac:dyDescent="0.25">
      <c r="A6" s="1">
        <v>45210</v>
      </c>
      <c r="B6" t="s">
        <v>42</v>
      </c>
      <c r="C6" t="s">
        <v>284</v>
      </c>
      <c r="D6" t="s">
        <v>43</v>
      </c>
      <c r="E6" s="2">
        <v>0.38541666666666669</v>
      </c>
      <c r="F6">
        <v>21.2</v>
      </c>
      <c r="G6">
        <v>75.8</v>
      </c>
      <c r="H6">
        <v>4.82</v>
      </c>
      <c r="I6">
        <v>24</v>
      </c>
      <c r="J6">
        <v>97</v>
      </c>
      <c r="L6" t="s">
        <v>64</v>
      </c>
    </row>
    <row r="7" spans="1:13" x14ac:dyDescent="0.25">
      <c r="A7" s="1">
        <v>45210</v>
      </c>
      <c r="B7" t="s">
        <v>42</v>
      </c>
      <c r="C7" t="s">
        <v>284</v>
      </c>
      <c r="D7" t="s">
        <v>55</v>
      </c>
      <c r="E7" s="2">
        <v>0.3888888888888889</v>
      </c>
      <c r="F7">
        <v>21.2</v>
      </c>
      <c r="G7">
        <v>79.599999999999994</v>
      </c>
      <c r="H7">
        <v>4.78</v>
      </c>
      <c r="I7">
        <v>27</v>
      </c>
      <c r="J7">
        <v>33</v>
      </c>
    </row>
    <row r="8" spans="1:13" x14ac:dyDescent="0.25">
      <c r="A8" s="1">
        <v>45210</v>
      </c>
      <c r="B8" t="s">
        <v>42</v>
      </c>
      <c r="C8" t="s">
        <v>284</v>
      </c>
      <c r="D8" t="s">
        <v>44</v>
      </c>
      <c r="E8" s="2">
        <v>0.38680555555555557</v>
      </c>
      <c r="F8">
        <v>21.2</v>
      </c>
      <c r="G8">
        <v>79.900000000000006</v>
      </c>
      <c r="H8">
        <v>4.8899999999999997</v>
      </c>
      <c r="I8">
        <v>27</v>
      </c>
      <c r="J8">
        <v>24</v>
      </c>
    </row>
    <row r="9" spans="1:13" x14ac:dyDescent="0.25">
      <c r="A9" s="1">
        <v>45210</v>
      </c>
      <c r="B9" t="s">
        <v>42</v>
      </c>
      <c r="C9" t="s">
        <v>284</v>
      </c>
      <c r="D9" t="s">
        <v>56</v>
      </c>
      <c r="E9" s="2">
        <v>0.39166666666666666</v>
      </c>
      <c r="F9">
        <v>21.3</v>
      </c>
      <c r="G9">
        <v>77.7</v>
      </c>
      <c r="H9">
        <v>4.71</v>
      </c>
      <c r="I9">
        <v>27</v>
      </c>
      <c r="J9">
        <v>111</v>
      </c>
    </row>
    <row r="10" spans="1:13" x14ac:dyDescent="0.25">
      <c r="A10" s="1">
        <v>45210</v>
      </c>
      <c r="B10" t="s">
        <v>42</v>
      </c>
      <c r="C10" t="s">
        <v>284</v>
      </c>
      <c r="D10" t="s">
        <v>57</v>
      </c>
      <c r="E10" s="2">
        <v>0.39166666666666666</v>
      </c>
      <c r="F10">
        <v>21.3</v>
      </c>
      <c r="G10">
        <v>77.400000000000006</v>
      </c>
      <c r="H10">
        <v>4.71</v>
      </c>
      <c r="I10">
        <v>27</v>
      </c>
      <c r="J10">
        <v>123</v>
      </c>
    </row>
    <row r="11" spans="1:13" x14ac:dyDescent="0.25">
      <c r="A11" s="1">
        <v>45210</v>
      </c>
      <c r="B11" t="s">
        <v>42</v>
      </c>
      <c r="C11" t="s">
        <v>284</v>
      </c>
      <c r="D11" t="s">
        <v>58</v>
      </c>
      <c r="E11" s="2">
        <v>0.39166666666666666</v>
      </c>
      <c r="F11">
        <v>21.3</v>
      </c>
      <c r="G11">
        <v>76.2</v>
      </c>
      <c r="H11">
        <v>4.72</v>
      </c>
      <c r="I11">
        <v>26</v>
      </c>
      <c r="J11">
        <v>126</v>
      </c>
    </row>
    <row r="12" spans="1:13" x14ac:dyDescent="0.25">
      <c r="A12" s="1">
        <v>45212</v>
      </c>
      <c r="B12" t="s">
        <v>42</v>
      </c>
      <c r="C12" t="s">
        <v>284</v>
      </c>
      <c r="D12" t="s">
        <v>43</v>
      </c>
      <c r="E12" s="2">
        <v>0.34930555555555554</v>
      </c>
      <c r="F12">
        <v>20.8</v>
      </c>
      <c r="G12">
        <v>70</v>
      </c>
      <c r="H12">
        <v>4.66</v>
      </c>
      <c r="I12">
        <v>26</v>
      </c>
      <c r="J12">
        <v>86</v>
      </c>
      <c r="K12">
        <v>9.76</v>
      </c>
    </row>
    <row r="13" spans="1:13" x14ac:dyDescent="0.25">
      <c r="A13" s="1">
        <v>45212</v>
      </c>
      <c r="B13" t="s">
        <v>42</v>
      </c>
      <c r="C13" t="s">
        <v>284</v>
      </c>
      <c r="D13" t="s">
        <v>55</v>
      </c>
      <c r="E13" s="2">
        <v>0.34861111111111115</v>
      </c>
      <c r="F13">
        <v>20.8</v>
      </c>
      <c r="G13">
        <v>73.099999999999994</v>
      </c>
      <c r="H13">
        <v>4.78</v>
      </c>
      <c r="I13">
        <v>26</v>
      </c>
      <c r="J13">
        <v>58</v>
      </c>
    </row>
    <row r="14" spans="1:13" x14ac:dyDescent="0.25">
      <c r="A14" s="1">
        <v>45212</v>
      </c>
      <c r="B14" t="s">
        <v>42</v>
      </c>
      <c r="C14" t="s">
        <v>284</v>
      </c>
      <c r="D14" t="s">
        <v>44</v>
      </c>
      <c r="E14" s="2">
        <v>0.34791666666666665</v>
      </c>
      <c r="F14">
        <v>21</v>
      </c>
      <c r="G14">
        <v>73.8</v>
      </c>
      <c r="H14">
        <v>5.0199999999999996</v>
      </c>
      <c r="I14">
        <v>26</v>
      </c>
      <c r="J14">
        <v>24</v>
      </c>
      <c r="K14">
        <v>9.8800000000000008</v>
      </c>
    </row>
    <row r="15" spans="1:13" x14ac:dyDescent="0.25">
      <c r="A15" s="1">
        <v>45212</v>
      </c>
      <c r="B15" t="s">
        <v>42</v>
      </c>
      <c r="C15" t="s">
        <v>284</v>
      </c>
      <c r="D15" t="s">
        <v>56</v>
      </c>
      <c r="E15" s="2">
        <v>0.35000000000000003</v>
      </c>
      <c r="F15">
        <v>20.7</v>
      </c>
      <c r="G15">
        <v>71.099999999999994</v>
      </c>
      <c r="H15">
        <v>4.54</v>
      </c>
      <c r="I15">
        <v>26</v>
      </c>
      <c r="J15">
        <v>95</v>
      </c>
    </row>
    <row r="16" spans="1:13" x14ac:dyDescent="0.25">
      <c r="A16" s="1">
        <v>45212</v>
      </c>
      <c r="B16" t="s">
        <v>42</v>
      </c>
      <c r="C16" t="s">
        <v>284</v>
      </c>
      <c r="D16" t="s">
        <v>57</v>
      </c>
      <c r="E16" s="2">
        <v>0.35000000000000003</v>
      </c>
      <c r="F16">
        <v>20.6</v>
      </c>
      <c r="G16">
        <v>69.7</v>
      </c>
      <c r="H16">
        <v>4.58</v>
      </c>
      <c r="I16">
        <v>26</v>
      </c>
      <c r="J16">
        <v>100</v>
      </c>
    </row>
    <row r="17" spans="1:11" x14ac:dyDescent="0.25">
      <c r="A17" s="1">
        <v>45212</v>
      </c>
      <c r="B17" t="s">
        <v>42</v>
      </c>
      <c r="C17" t="s">
        <v>284</v>
      </c>
      <c r="D17" t="s">
        <v>58</v>
      </c>
      <c r="E17" s="2">
        <v>0.35069444444444442</v>
      </c>
      <c r="F17">
        <v>20.6</v>
      </c>
      <c r="G17">
        <v>70.7</v>
      </c>
      <c r="H17">
        <v>4.5199999999999996</v>
      </c>
      <c r="I17">
        <v>26</v>
      </c>
      <c r="J17">
        <v>100</v>
      </c>
    </row>
    <row r="18" spans="1:11" x14ac:dyDescent="0.25">
      <c r="A18" s="1">
        <v>45215</v>
      </c>
      <c r="B18" t="s">
        <v>42</v>
      </c>
      <c r="C18" t="s">
        <v>284</v>
      </c>
      <c r="D18" t="s">
        <v>43</v>
      </c>
      <c r="E18" s="2">
        <v>0.42430555555555555</v>
      </c>
      <c r="F18">
        <v>22.9</v>
      </c>
      <c r="G18">
        <v>84.5</v>
      </c>
      <c r="H18">
        <v>5.59</v>
      </c>
      <c r="I18">
        <v>27</v>
      </c>
      <c r="J18">
        <v>92</v>
      </c>
      <c r="K18">
        <v>8.8800000000000008</v>
      </c>
    </row>
    <row r="19" spans="1:11" x14ac:dyDescent="0.25">
      <c r="A19" s="1">
        <v>45215</v>
      </c>
      <c r="B19" t="s">
        <v>42</v>
      </c>
      <c r="C19" t="s">
        <v>284</v>
      </c>
      <c r="D19" t="s">
        <v>55</v>
      </c>
      <c r="E19" s="2">
        <v>0.4236111111111111</v>
      </c>
      <c r="F19">
        <v>23.2</v>
      </c>
      <c r="G19">
        <v>85.8</v>
      </c>
      <c r="H19">
        <v>5.72</v>
      </c>
      <c r="I19">
        <v>27</v>
      </c>
      <c r="J19">
        <v>63</v>
      </c>
    </row>
    <row r="20" spans="1:11" x14ac:dyDescent="0.25">
      <c r="A20" s="1">
        <v>45215</v>
      </c>
      <c r="B20" t="s">
        <v>42</v>
      </c>
      <c r="C20" t="s">
        <v>284</v>
      </c>
      <c r="D20" t="s">
        <v>44</v>
      </c>
      <c r="E20" s="2">
        <v>0.41805555555555557</v>
      </c>
      <c r="F20">
        <v>23.3</v>
      </c>
      <c r="G20">
        <v>88.1</v>
      </c>
      <c r="H20">
        <v>5.65</v>
      </c>
      <c r="I20">
        <v>29</v>
      </c>
      <c r="J20">
        <v>26</v>
      </c>
      <c r="K20">
        <v>10.199999999999999</v>
      </c>
    </row>
    <row r="21" spans="1:11" x14ac:dyDescent="0.25">
      <c r="A21" s="1">
        <v>45215</v>
      </c>
      <c r="B21" t="s">
        <v>42</v>
      </c>
      <c r="C21" t="s">
        <v>284</v>
      </c>
      <c r="D21" t="s">
        <v>56</v>
      </c>
      <c r="E21" s="2">
        <v>0.42430555555555555</v>
      </c>
      <c r="F21">
        <v>22.8</v>
      </c>
      <c r="G21">
        <v>85.8</v>
      </c>
      <c r="H21">
        <v>5.64</v>
      </c>
      <c r="I21">
        <v>27</v>
      </c>
      <c r="J21">
        <v>98</v>
      </c>
    </row>
    <row r="22" spans="1:11" x14ac:dyDescent="0.25">
      <c r="A22" s="1">
        <v>45215</v>
      </c>
      <c r="B22" t="s">
        <v>42</v>
      </c>
      <c r="C22" t="s">
        <v>284</v>
      </c>
      <c r="D22" t="s">
        <v>57</v>
      </c>
      <c r="E22" s="2">
        <v>0.42499999999999999</v>
      </c>
      <c r="F22">
        <v>22.6</v>
      </c>
      <c r="G22">
        <v>82.9</v>
      </c>
      <c r="H22">
        <v>5.67</v>
      </c>
      <c r="I22">
        <v>27</v>
      </c>
      <c r="J22">
        <v>106</v>
      </c>
    </row>
    <row r="23" spans="1:11" x14ac:dyDescent="0.25">
      <c r="A23" s="1">
        <v>45215</v>
      </c>
      <c r="B23" t="s">
        <v>42</v>
      </c>
      <c r="C23" t="s">
        <v>284</v>
      </c>
      <c r="D23" t="s">
        <v>58</v>
      </c>
      <c r="E23" s="2">
        <v>0.42499999999999999</v>
      </c>
      <c r="F23">
        <v>22.6</v>
      </c>
      <c r="G23">
        <v>84.4</v>
      </c>
      <c r="H23">
        <v>5.69</v>
      </c>
      <c r="I23">
        <v>27</v>
      </c>
      <c r="J23">
        <v>105</v>
      </c>
    </row>
    <row r="24" spans="1:11" x14ac:dyDescent="0.25">
      <c r="A24" s="1">
        <v>45217</v>
      </c>
      <c r="B24" t="s">
        <v>42</v>
      </c>
      <c r="C24" t="s">
        <v>284</v>
      </c>
      <c r="D24" t="s">
        <v>43</v>
      </c>
      <c r="E24" s="2">
        <v>0.3888888888888889</v>
      </c>
      <c r="F24">
        <v>21.2</v>
      </c>
      <c r="G24">
        <v>58.2</v>
      </c>
      <c r="H24">
        <v>4.75</v>
      </c>
      <c r="I24">
        <v>26</v>
      </c>
      <c r="J24">
        <v>47</v>
      </c>
      <c r="K24">
        <f>AVERAGE(9.71,8.87)</f>
        <v>9.2899999999999991</v>
      </c>
    </row>
    <row r="25" spans="1:11" x14ac:dyDescent="0.25">
      <c r="A25" s="1">
        <v>45217</v>
      </c>
      <c r="B25" t="s">
        <v>42</v>
      </c>
      <c r="C25" t="s">
        <v>284</v>
      </c>
      <c r="D25" t="s">
        <v>55</v>
      </c>
      <c r="E25" s="2">
        <v>0.3888888888888889</v>
      </c>
      <c r="F25">
        <v>20.9</v>
      </c>
      <c r="G25">
        <v>75.3</v>
      </c>
      <c r="H25">
        <v>4.74</v>
      </c>
      <c r="I25">
        <v>26</v>
      </c>
      <c r="J25">
        <v>68</v>
      </c>
    </row>
    <row r="26" spans="1:11" x14ac:dyDescent="0.25">
      <c r="A26" s="1">
        <v>45217</v>
      </c>
      <c r="B26" t="s">
        <v>42</v>
      </c>
      <c r="C26" t="s">
        <v>284</v>
      </c>
      <c r="D26" t="s">
        <v>44</v>
      </c>
      <c r="E26" s="2">
        <v>0.3888888888888889</v>
      </c>
      <c r="F26">
        <v>20.9</v>
      </c>
      <c r="G26">
        <v>75.5</v>
      </c>
      <c r="H26">
        <v>4.75</v>
      </c>
      <c r="I26">
        <v>26</v>
      </c>
      <c r="J26">
        <v>31</v>
      </c>
      <c r="K26">
        <f>AVERAGE(11.3,11.8)</f>
        <v>11.55</v>
      </c>
    </row>
    <row r="27" spans="1:11" x14ac:dyDescent="0.25">
      <c r="A27" s="1">
        <v>45217</v>
      </c>
      <c r="B27" t="s">
        <v>42</v>
      </c>
      <c r="C27" t="s">
        <v>284</v>
      </c>
      <c r="D27" t="s">
        <v>56</v>
      </c>
      <c r="E27" s="2">
        <v>0.3888888888888889</v>
      </c>
      <c r="F27">
        <v>21</v>
      </c>
      <c r="G27">
        <v>67.2</v>
      </c>
      <c r="H27">
        <v>4.6100000000000003</v>
      </c>
      <c r="I27">
        <v>26</v>
      </c>
      <c r="J27">
        <v>43</v>
      </c>
    </row>
    <row r="28" spans="1:11" x14ac:dyDescent="0.25">
      <c r="A28" s="1">
        <v>45217</v>
      </c>
      <c r="B28" t="s">
        <v>42</v>
      </c>
      <c r="C28" t="s">
        <v>284</v>
      </c>
      <c r="D28" t="s">
        <v>57</v>
      </c>
      <c r="E28" s="2">
        <v>0.3888888888888889</v>
      </c>
      <c r="F28">
        <v>20.9</v>
      </c>
      <c r="G28">
        <v>72.5</v>
      </c>
      <c r="H28">
        <v>4.82</v>
      </c>
      <c r="I28">
        <v>26</v>
      </c>
      <c r="J28">
        <v>100</v>
      </c>
    </row>
    <row r="29" spans="1:11" x14ac:dyDescent="0.25">
      <c r="A29" s="1">
        <v>45217</v>
      </c>
      <c r="B29" t="s">
        <v>42</v>
      </c>
      <c r="C29" t="s">
        <v>284</v>
      </c>
      <c r="D29" t="s">
        <v>58</v>
      </c>
      <c r="E29" s="2">
        <v>0.3888888888888889</v>
      </c>
      <c r="F29">
        <v>20.9</v>
      </c>
      <c r="G29">
        <v>70.5</v>
      </c>
      <c r="H29">
        <v>4.87</v>
      </c>
      <c r="I29">
        <v>26</v>
      </c>
      <c r="J29">
        <v>114</v>
      </c>
    </row>
    <row r="30" spans="1:11" x14ac:dyDescent="0.25">
      <c r="A30" s="1">
        <v>45222</v>
      </c>
      <c r="B30" t="s">
        <v>42</v>
      </c>
      <c r="C30" t="s">
        <v>284</v>
      </c>
      <c r="D30" t="s">
        <v>43</v>
      </c>
      <c r="E30" s="2">
        <v>0.41666666666666669</v>
      </c>
      <c r="F30">
        <v>23.6</v>
      </c>
      <c r="G30">
        <v>57.4</v>
      </c>
      <c r="H30">
        <v>6.18</v>
      </c>
      <c r="I30">
        <v>20</v>
      </c>
      <c r="J30">
        <v>38</v>
      </c>
      <c r="K30">
        <f>AVERAGE(10.5, 10.4)</f>
        <v>10.45</v>
      </c>
    </row>
    <row r="31" spans="1:11" x14ac:dyDescent="0.25">
      <c r="A31" s="1">
        <v>45222</v>
      </c>
      <c r="B31" t="s">
        <v>42</v>
      </c>
      <c r="C31" t="s">
        <v>284</v>
      </c>
      <c r="D31" t="s">
        <v>55</v>
      </c>
      <c r="E31" s="2">
        <v>0.41666666666666669</v>
      </c>
      <c r="F31">
        <v>22.4</v>
      </c>
      <c r="G31">
        <v>77.7</v>
      </c>
      <c r="H31">
        <v>4.84</v>
      </c>
      <c r="I31">
        <v>21</v>
      </c>
      <c r="J31">
        <v>73</v>
      </c>
    </row>
    <row r="32" spans="1:11" x14ac:dyDescent="0.25">
      <c r="A32" s="1">
        <v>45222</v>
      </c>
      <c r="B32" t="s">
        <v>42</v>
      </c>
      <c r="C32" t="s">
        <v>284</v>
      </c>
      <c r="D32" t="s">
        <v>44</v>
      </c>
      <c r="E32" s="2">
        <v>0.41666666666666669</v>
      </c>
      <c r="F32">
        <v>22.6</v>
      </c>
      <c r="G32">
        <v>78.400000000000006</v>
      </c>
      <c r="H32">
        <v>5.12</v>
      </c>
      <c r="I32">
        <v>21</v>
      </c>
      <c r="J32">
        <v>32</v>
      </c>
      <c r="K32">
        <f>AVERAGE(10.3,9.79)</f>
        <v>10.045</v>
      </c>
    </row>
    <row r="33" spans="1:11" x14ac:dyDescent="0.25">
      <c r="A33" s="1">
        <v>45222</v>
      </c>
      <c r="B33" t="s">
        <v>42</v>
      </c>
      <c r="C33" t="s">
        <v>284</v>
      </c>
      <c r="D33" t="s">
        <v>56</v>
      </c>
      <c r="E33" s="2">
        <v>0.4201388888888889</v>
      </c>
      <c r="F33">
        <v>22.4</v>
      </c>
      <c r="G33">
        <v>77.3</v>
      </c>
      <c r="H33">
        <v>4.84</v>
      </c>
      <c r="I33">
        <v>20</v>
      </c>
      <c r="J33">
        <v>99</v>
      </c>
    </row>
    <row r="34" spans="1:11" x14ac:dyDescent="0.25">
      <c r="A34" s="1">
        <v>45222</v>
      </c>
      <c r="B34" t="s">
        <v>42</v>
      </c>
      <c r="C34" t="s">
        <v>284</v>
      </c>
      <c r="D34" t="s">
        <v>57</v>
      </c>
      <c r="E34" s="2">
        <v>0.4201388888888889</v>
      </c>
      <c r="F34">
        <v>22.3</v>
      </c>
      <c r="G34">
        <v>76.8</v>
      </c>
      <c r="H34">
        <v>4.88</v>
      </c>
      <c r="I34">
        <v>21</v>
      </c>
      <c r="J34">
        <v>95</v>
      </c>
    </row>
    <row r="35" spans="1:11" x14ac:dyDescent="0.25">
      <c r="A35" s="1">
        <v>45222</v>
      </c>
      <c r="B35" t="s">
        <v>42</v>
      </c>
      <c r="C35" t="s">
        <v>284</v>
      </c>
      <c r="D35" t="s">
        <v>58</v>
      </c>
      <c r="E35" s="2">
        <v>0.4201388888888889</v>
      </c>
      <c r="F35">
        <v>22.3</v>
      </c>
      <c r="G35">
        <v>76.599999999999994</v>
      </c>
      <c r="H35">
        <v>4.83</v>
      </c>
      <c r="I35">
        <v>21</v>
      </c>
      <c r="J35">
        <v>119</v>
      </c>
    </row>
    <row r="36" spans="1:11" x14ac:dyDescent="0.25">
      <c r="A36" s="1">
        <v>45224</v>
      </c>
      <c r="B36" t="s">
        <v>42</v>
      </c>
      <c r="C36" t="s">
        <v>284</v>
      </c>
      <c r="D36" t="s">
        <v>43</v>
      </c>
      <c r="E36" s="2">
        <v>0.375</v>
      </c>
      <c r="F36">
        <v>21.4</v>
      </c>
      <c r="G36">
        <v>54.4</v>
      </c>
      <c r="H36">
        <v>5.27</v>
      </c>
      <c r="I36">
        <v>23</v>
      </c>
      <c r="J36">
        <v>47</v>
      </c>
      <c r="K36">
        <f>AVERAGE(14.9,16.5)</f>
        <v>15.7</v>
      </c>
    </row>
    <row r="37" spans="1:11" x14ac:dyDescent="0.25">
      <c r="A37" s="1">
        <v>45224</v>
      </c>
      <c r="B37" t="s">
        <v>42</v>
      </c>
      <c r="C37" t="s">
        <v>284</v>
      </c>
      <c r="D37" t="s">
        <v>55</v>
      </c>
      <c r="E37" s="2">
        <v>0.37638888888888888</v>
      </c>
      <c r="F37">
        <v>21.5</v>
      </c>
      <c r="G37">
        <v>57.2</v>
      </c>
      <c r="H37">
        <v>4.83</v>
      </c>
      <c r="I37">
        <v>21</v>
      </c>
      <c r="J37">
        <v>99</v>
      </c>
    </row>
    <row r="38" spans="1:11" x14ac:dyDescent="0.25">
      <c r="A38" s="1">
        <v>45224</v>
      </c>
      <c r="B38" t="s">
        <v>42</v>
      </c>
      <c r="C38" t="s">
        <v>284</v>
      </c>
      <c r="D38" t="s">
        <v>44</v>
      </c>
      <c r="E38" s="2">
        <v>0.37708333333333338</v>
      </c>
      <c r="F38">
        <v>21.4</v>
      </c>
      <c r="G38">
        <v>60.2</v>
      </c>
      <c r="H38">
        <v>4.58</v>
      </c>
      <c r="I38">
        <v>22</v>
      </c>
      <c r="J38">
        <v>30</v>
      </c>
      <c r="K38">
        <f>AVERAGE(16.8,17)</f>
        <v>16.899999999999999</v>
      </c>
    </row>
    <row r="39" spans="1:11" x14ac:dyDescent="0.25">
      <c r="A39" s="1">
        <v>45224</v>
      </c>
      <c r="B39" t="s">
        <v>42</v>
      </c>
      <c r="C39" t="s">
        <v>284</v>
      </c>
      <c r="D39" t="s">
        <v>56</v>
      </c>
      <c r="E39" s="2">
        <v>0.37847222222222227</v>
      </c>
      <c r="F39">
        <v>21.4</v>
      </c>
      <c r="G39">
        <v>58.8</v>
      </c>
      <c r="H39">
        <v>4.68</v>
      </c>
      <c r="I39">
        <v>22</v>
      </c>
      <c r="J39">
        <v>45</v>
      </c>
    </row>
    <row r="40" spans="1:11" x14ac:dyDescent="0.25">
      <c r="A40" s="1">
        <v>45224</v>
      </c>
      <c r="B40" t="s">
        <v>42</v>
      </c>
      <c r="C40" t="s">
        <v>284</v>
      </c>
      <c r="D40" t="s">
        <v>57</v>
      </c>
      <c r="E40" s="2">
        <v>0.37986111111111115</v>
      </c>
      <c r="F40">
        <v>21.5</v>
      </c>
      <c r="G40">
        <v>60.9</v>
      </c>
      <c r="H40">
        <v>4.6399999999999997</v>
      </c>
      <c r="I40">
        <v>22</v>
      </c>
      <c r="J40">
        <v>93</v>
      </c>
    </row>
    <row r="41" spans="1:11" x14ac:dyDescent="0.25">
      <c r="A41" s="1">
        <v>45224</v>
      </c>
      <c r="B41" t="s">
        <v>42</v>
      </c>
      <c r="C41" t="s">
        <v>284</v>
      </c>
      <c r="D41" t="s">
        <v>58</v>
      </c>
      <c r="E41" s="2">
        <v>0.38055555555555554</v>
      </c>
      <c r="F41">
        <v>21.5</v>
      </c>
      <c r="G41">
        <v>60</v>
      </c>
      <c r="H41">
        <v>4.63</v>
      </c>
      <c r="I41">
        <v>22</v>
      </c>
      <c r="J41">
        <v>74</v>
      </c>
    </row>
    <row r="42" spans="1:11" x14ac:dyDescent="0.25">
      <c r="A42" s="1">
        <v>45229</v>
      </c>
      <c r="B42" t="s">
        <v>42</v>
      </c>
      <c r="C42" t="s">
        <v>284</v>
      </c>
      <c r="D42" t="s">
        <v>43</v>
      </c>
      <c r="E42" s="2">
        <v>0.4458333333333333</v>
      </c>
      <c r="F42">
        <v>23.7</v>
      </c>
      <c r="G42">
        <v>72.099999999999994</v>
      </c>
      <c r="H42">
        <v>5.58</v>
      </c>
      <c r="I42">
        <v>23</v>
      </c>
      <c r="J42">
        <v>113</v>
      </c>
      <c r="K42">
        <f>AVERAGE(12.1,11.8)</f>
        <v>11.95</v>
      </c>
    </row>
    <row r="43" spans="1:11" x14ac:dyDescent="0.25">
      <c r="A43" s="1">
        <v>45229</v>
      </c>
      <c r="B43" t="s">
        <v>42</v>
      </c>
      <c r="C43" t="s">
        <v>284</v>
      </c>
      <c r="D43" t="s">
        <v>55</v>
      </c>
      <c r="E43" s="2">
        <v>0.4465277777777778</v>
      </c>
      <c r="F43">
        <v>22.8</v>
      </c>
      <c r="G43">
        <v>76</v>
      </c>
      <c r="H43">
        <v>4.97</v>
      </c>
      <c r="I43">
        <v>22</v>
      </c>
      <c r="J43">
        <v>97</v>
      </c>
    </row>
    <row r="44" spans="1:11" x14ac:dyDescent="0.25">
      <c r="A44" s="1">
        <v>45229</v>
      </c>
      <c r="B44" t="s">
        <v>42</v>
      </c>
      <c r="C44" t="s">
        <v>284</v>
      </c>
      <c r="D44" t="s">
        <v>44</v>
      </c>
      <c r="E44" s="2">
        <v>0.44791666666666669</v>
      </c>
      <c r="F44">
        <v>22.7</v>
      </c>
      <c r="G44">
        <v>75.900000000000006</v>
      </c>
      <c r="H44">
        <v>4.71</v>
      </c>
      <c r="I44">
        <v>22</v>
      </c>
      <c r="J44">
        <v>29</v>
      </c>
      <c r="K44">
        <f>AVERAGE(12.1,11.7)</f>
        <v>11.899999999999999</v>
      </c>
    </row>
    <row r="45" spans="1:11" x14ac:dyDescent="0.25">
      <c r="A45" s="1">
        <v>45229</v>
      </c>
      <c r="B45" t="s">
        <v>42</v>
      </c>
      <c r="C45" t="s">
        <v>284</v>
      </c>
      <c r="D45" t="s">
        <v>56</v>
      </c>
      <c r="E45" s="2">
        <v>0.44930555555555557</v>
      </c>
      <c r="F45">
        <v>22.5</v>
      </c>
      <c r="G45">
        <v>74.2</v>
      </c>
      <c r="H45">
        <v>4.66</v>
      </c>
      <c r="I45">
        <v>22</v>
      </c>
      <c r="J45">
        <v>120</v>
      </c>
    </row>
    <row r="46" spans="1:11" x14ac:dyDescent="0.25">
      <c r="A46" s="1">
        <v>45229</v>
      </c>
      <c r="B46" t="s">
        <v>42</v>
      </c>
      <c r="C46" t="s">
        <v>284</v>
      </c>
      <c r="D46" t="s">
        <v>57</v>
      </c>
      <c r="E46" s="2">
        <v>0.45</v>
      </c>
      <c r="F46">
        <v>22.4</v>
      </c>
      <c r="G46">
        <v>72.900000000000006</v>
      </c>
      <c r="H46">
        <v>4.67</v>
      </c>
      <c r="I46">
        <v>22</v>
      </c>
      <c r="J46">
        <v>106</v>
      </c>
    </row>
    <row r="47" spans="1:11" x14ac:dyDescent="0.25">
      <c r="A47" s="1">
        <v>45229</v>
      </c>
      <c r="B47" t="s">
        <v>42</v>
      </c>
      <c r="C47" t="s">
        <v>284</v>
      </c>
      <c r="D47" t="s">
        <v>58</v>
      </c>
      <c r="E47" s="2">
        <v>0.45069444444444445</v>
      </c>
      <c r="F47">
        <v>22.4</v>
      </c>
      <c r="G47">
        <v>73.5</v>
      </c>
      <c r="H47">
        <v>4.74</v>
      </c>
      <c r="I47">
        <v>22</v>
      </c>
      <c r="J47">
        <v>138</v>
      </c>
    </row>
    <row r="48" spans="1:11" x14ac:dyDescent="0.25">
      <c r="A48" s="1">
        <v>45231</v>
      </c>
      <c r="B48" t="s">
        <v>42</v>
      </c>
      <c r="C48" t="s">
        <v>284</v>
      </c>
      <c r="D48" t="s">
        <v>43</v>
      </c>
      <c r="E48" s="2">
        <v>0.38263888888888892</v>
      </c>
      <c r="F48">
        <v>21.5</v>
      </c>
      <c r="G48">
        <v>72.099999999999994</v>
      </c>
      <c r="H48">
        <v>5.35</v>
      </c>
      <c r="I48">
        <v>21</v>
      </c>
      <c r="J48">
        <v>103</v>
      </c>
      <c r="K48">
        <f>AVERAGE(8.23, 9.69)</f>
        <v>8.9600000000000009</v>
      </c>
    </row>
    <row r="49" spans="1:11" x14ac:dyDescent="0.25">
      <c r="A49" s="1">
        <v>45231</v>
      </c>
      <c r="B49" t="s">
        <v>42</v>
      </c>
      <c r="C49" t="s">
        <v>284</v>
      </c>
      <c r="D49" t="s">
        <v>55</v>
      </c>
      <c r="E49" s="2">
        <v>0.3833333333333333</v>
      </c>
      <c r="F49">
        <v>21.2</v>
      </c>
      <c r="G49">
        <v>75.5</v>
      </c>
      <c r="H49">
        <v>4.7699999999999996</v>
      </c>
      <c r="I49">
        <v>20</v>
      </c>
      <c r="J49">
        <v>90</v>
      </c>
    </row>
    <row r="50" spans="1:11" x14ac:dyDescent="0.25">
      <c r="A50" s="1">
        <v>45231</v>
      </c>
      <c r="B50" t="s">
        <v>42</v>
      </c>
      <c r="C50" t="s">
        <v>284</v>
      </c>
      <c r="D50" t="s">
        <v>44</v>
      </c>
      <c r="E50" s="2">
        <v>0.38611111111111113</v>
      </c>
      <c r="F50">
        <v>21.2</v>
      </c>
      <c r="G50">
        <v>75.3</v>
      </c>
      <c r="H50">
        <v>4.7300000000000004</v>
      </c>
      <c r="I50">
        <v>20</v>
      </c>
      <c r="J50">
        <v>30</v>
      </c>
      <c r="K50">
        <f>AVERAGE(8.73, 8.86)</f>
        <v>8.7949999999999999</v>
      </c>
    </row>
    <row r="51" spans="1:11" x14ac:dyDescent="0.25">
      <c r="A51" s="1">
        <v>45231</v>
      </c>
      <c r="B51" t="s">
        <v>42</v>
      </c>
      <c r="C51" t="s">
        <v>284</v>
      </c>
      <c r="D51" t="s">
        <v>56</v>
      </c>
      <c r="E51" s="2">
        <v>0.3840277777777778</v>
      </c>
      <c r="F51">
        <v>21.2</v>
      </c>
      <c r="G51">
        <v>74.900000000000006</v>
      </c>
      <c r="H51">
        <v>4.83</v>
      </c>
      <c r="I51">
        <v>20</v>
      </c>
      <c r="J51">
        <v>99</v>
      </c>
    </row>
    <row r="52" spans="1:11" x14ac:dyDescent="0.25">
      <c r="A52" s="1">
        <v>45231</v>
      </c>
      <c r="B52" t="s">
        <v>42</v>
      </c>
      <c r="C52" t="s">
        <v>284</v>
      </c>
      <c r="D52" t="s">
        <v>57</v>
      </c>
      <c r="E52" s="2">
        <v>0.38680555555555557</v>
      </c>
      <c r="F52">
        <v>21.2</v>
      </c>
      <c r="G52">
        <v>74</v>
      </c>
      <c r="H52">
        <v>4.76</v>
      </c>
      <c r="I52">
        <v>20</v>
      </c>
      <c r="J52">
        <v>102</v>
      </c>
    </row>
    <row r="53" spans="1:11" x14ac:dyDescent="0.25">
      <c r="A53" s="1">
        <v>45231</v>
      </c>
      <c r="B53" t="s">
        <v>42</v>
      </c>
      <c r="C53" t="s">
        <v>284</v>
      </c>
      <c r="D53" t="s">
        <v>58</v>
      </c>
      <c r="E53" s="2">
        <v>0.38750000000000001</v>
      </c>
      <c r="F53">
        <v>21.2</v>
      </c>
      <c r="G53">
        <v>76.2</v>
      </c>
      <c r="H53">
        <v>4.76</v>
      </c>
      <c r="I53">
        <v>20</v>
      </c>
      <c r="J53">
        <v>131</v>
      </c>
    </row>
    <row r="54" spans="1:11" x14ac:dyDescent="0.25">
      <c r="A54" s="1">
        <v>45236</v>
      </c>
      <c r="B54" t="s">
        <v>42</v>
      </c>
      <c r="C54" t="s">
        <v>284</v>
      </c>
      <c r="D54" t="s">
        <v>43</v>
      </c>
      <c r="E54" s="2">
        <v>0.45694444444444443</v>
      </c>
      <c r="F54">
        <v>23.6</v>
      </c>
      <c r="G54">
        <v>74.900000000000006</v>
      </c>
      <c r="H54">
        <v>5.5</v>
      </c>
      <c r="I54">
        <v>20</v>
      </c>
      <c r="J54">
        <v>105</v>
      </c>
      <c r="K54">
        <f>AVERAGE(16.9,17.2)</f>
        <v>17.049999999999997</v>
      </c>
    </row>
    <row r="55" spans="1:11" x14ac:dyDescent="0.25">
      <c r="A55" s="1">
        <v>45236</v>
      </c>
      <c r="B55" t="s">
        <v>42</v>
      </c>
      <c r="C55" t="s">
        <v>284</v>
      </c>
      <c r="D55" t="s">
        <v>55</v>
      </c>
      <c r="E55" s="2">
        <v>0.45833333333333331</v>
      </c>
      <c r="F55">
        <v>23.3</v>
      </c>
      <c r="G55">
        <v>78.5</v>
      </c>
      <c r="H55">
        <v>5.54</v>
      </c>
      <c r="I55">
        <v>19</v>
      </c>
      <c r="J55">
        <v>93</v>
      </c>
    </row>
    <row r="56" spans="1:11" x14ac:dyDescent="0.25">
      <c r="A56" s="1">
        <v>45236</v>
      </c>
      <c r="B56" t="s">
        <v>42</v>
      </c>
      <c r="C56" t="s">
        <v>284</v>
      </c>
      <c r="D56" t="s">
        <v>44</v>
      </c>
      <c r="E56" s="2">
        <v>0.4597222222222222</v>
      </c>
      <c r="F56">
        <v>23.1</v>
      </c>
      <c r="G56">
        <v>81.400000000000006</v>
      </c>
      <c r="H56">
        <v>4.68</v>
      </c>
      <c r="I56">
        <v>19</v>
      </c>
      <c r="J56">
        <v>37</v>
      </c>
      <c r="K56">
        <f>AVERAGE(16,16.4)</f>
        <v>16.2</v>
      </c>
    </row>
    <row r="57" spans="1:11" x14ac:dyDescent="0.25">
      <c r="A57" s="1">
        <v>45236</v>
      </c>
      <c r="B57" t="s">
        <v>42</v>
      </c>
      <c r="C57" t="s">
        <v>284</v>
      </c>
      <c r="D57" t="s">
        <v>56</v>
      </c>
      <c r="E57" s="2">
        <v>0.46597222222222223</v>
      </c>
      <c r="F57">
        <v>23.3</v>
      </c>
      <c r="G57">
        <v>78.099999999999994</v>
      </c>
      <c r="H57">
        <v>4.78</v>
      </c>
      <c r="I57">
        <v>19</v>
      </c>
      <c r="J57">
        <v>114</v>
      </c>
    </row>
    <row r="58" spans="1:11" x14ac:dyDescent="0.25">
      <c r="A58" s="1">
        <v>45236</v>
      </c>
      <c r="B58" t="s">
        <v>42</v>
      </c>
      <c r="C58" t="s">
        <v>284</v>
      </c>
      <c r="D58" t="s">
        <v>57</v>
      </c>
      <c r="E58" s="2">
        <v>0.46736111111111112</v>
      </c>
      <c r="F58">
        <v>23.1</v>
      </c>
      <c r="G58">
        <v>78.400000000000006</v>
      </c>
      <c r="H58">
        <v>4.91</v>
      </c>
      <c r="I58">
        <v>19</v>
      </c>
      <c r="J58">
        <v>109</v>
      </c>
    </row>
    <row r="59" spans="1:11" x14ac:dyDescent="0.25">
      <c r="A59" s="1">
        <v>45236</v>
      </c>
      <c r="B59" t="s">
        <v>42</v>
      </c>
      <c r="C59" t="s">
        <v>284</v>
      </c>
      <c r="D59" t="s">
        <v>58</v>
      </c>
      <c r="E59" s="2">
        <v>0.46875</v>
      </c>
      <c r="F59">
        <v>23</v>
      </c>
      <c r="G59">
        <v>79.900000000000006</v>
      </c>
      <c r="H59">
        <v>5.0999999999999996</v>
      </c>
      <c r="I59">
        <v>19</v>
      </c>
      <c r="J59">
        <v>89</v>
      </c>
    </row>
    <row r="60" spans="1:11" x14ac:dyDescent="0.25">
      <c r="A60" s="1">
        <v>45238</v>
      </c>
      <c r="B60" t="s">
        <v>42</v>
      </c>
      <c r="C60" t="s">
        <v>284</v>
      </c>
      <c r="D60" t="s">
        <v>43</v>
      </c>
      <c r="E60" s="2">
        <v>0.39374999999999999</v>
      </c>
      <c r="F60">
        <v>21.3</v>
      </c>
      <c r="G60">
        <v>56.5</v>
      </c>
      <c r="H60">
        <v>4.88</v>
      </c>
      <c r="I60">
        <v>21</v>
      </c>
      <c r="J60">
        <v>139</v>
      </c>
      <c r="K60">
        <f>AVERAGE(31.3,31.7)</f>
        <v>31.5</v>
      </c>
    </row>
    <row r="61" spans="1:11" x14ac:dyDescent="0.25">
      <c r="A61" s="1">
        <v>45238</v>
      </c>
      <c r="B61" t="s">
        <v>42</v>
      </c>
      <c r="C61" t="s">
        <v>284</v>
      </c>
      <c r="D61" t="s">
        <v>55</v>
      </c>
      <c r="E61" s="2">
        <v>0.39305555555555555</v>
      </c>
      <c r="F61">
        <v>21.5</v>
      </c>
      <c r="G61">
        <v>60.6</v>
      </c>
      <c r="H61">
        <v>4.97</v>
      </c>
      <c r="I61">
        <v>21</v>
      </c>
      <c r="J61">
        <v>109</v>
      </c>
    </row>
    <row r="62" spans="1:11" x14ac:dyDescent="0.25">
      <c r="A62" s="1">
        <v>45238</v>
      </c>
      <c r="B62" t="s">
        <v>42</v>
      </c>
      <c r="C62" t="s">
        <v>284</v>
      </c>
      <c r="D62" t="s">
        <v>44</v>
      </c>
      <c r="E62" s="2">
        <v>0.3923611111111111</v>
      </c>
      <c r="F62">
        <v>21.8</v>
      </c>
      <c r="G62">
        <v>63.5</v>
      </c>
      <c r="H62">
        <v>5.3</v>
      </c>
      <c r="I62">
        <v>21</v>
      </c>
      <c r="J62">
        <v>51</v>
      </c>
      <c r="K62">
        <f>AVERAGE(32.4,31.8)</f>
        <v>32.1</v>
      </c>
    </row>
    <row r="63" spans="1:11" x14ac:dyDescent="0.25">
      <c r="A63" s="1">
        <v>45238</v>
      </c>
      <c r="B63" t="s">
        <v>42</v>
      </c>
      <c r="C63" t="s">
        <v>284</v>
      </c>
      <c r="D63" t="s">
        <v>56</v>
      </c>
      <c r="E63" s="2">
        <v>0.39444444444444443</v>
      </c>
      <c r="F63">
        <v>21.2</v>
      </c>
      <c r="G63">
        <v>58.6</v>
      </c>
      <c r="H63">
        <v>4.87</v>
      </c>
      <c r="I63">
        <v>21</v>
      </c>
      <c r="J63">
        <v>132</v>
      </c>
    </row>
    <row r="64" spans="1:11" x14ac:dyDescent="0.25">
      <c r="A64" s="1">
        <v>45238</v>
      </c>
      <c r="B64" t="s">
        <v>42</v>
      </c>
      <c r="C64" t="s">
        <v>284</v>
      </c>
      <c r="D64" t="s">
        <v>57</v>
      </c>
      <c r="E64" s="2">
        <v>0.39583333333333331</v>
      </c>
      <c r="F64">
        <v>21.1</v>
      </c>
      <c r="G64">
        <v>59.7</v>
      </c>
      <c r="H64">
        <v>4.91</v>
      </c>
      <c r="I64">
        <v>21</v>
      </c>
      <c r="J64">
        <v>128</v>
      </c>
    </row>
    <row r="65" spans="1:11" x14ac:dyDescent="0.25">
      <c r="A65" s="1">
        <v>45238</v>
      </c>
      <c r="B65" t="s">
        <v>42</v>
      </c>
      <c r="C65" t="s">
        <v>284</v>
      </c>
      <c r="D65" t="s">
        <v>58</v>
      </c>
      <c r="E65" s="2">
        <v>0.39652777777777781</v>
      </c>
      <c r="F65">
        <v>21</v>
      </c>
      <c r="G65">
        <v>59.7</v>
      </c>
      <c r="H65">
        <v>4.96</v>
      </c>
      <c r="I65">
        <v>21</v>
      </c>
      <c r="J65">
        <v>144</v>
      </c>
    </row>
    <row r="66" spans="1:11" x14ac:dyDescent="0.25">
      <c r="A66" s="1">
        <v>45243</v>
      </c>
      <c r="B66" t="s">
        <v>42</v>
      </c>
      <c r="C66" t="s">
        <v>284</v>
      </c>
      <c r="D66" t="s">
        <v>56</v>
      </c>
      <c r="E66" s="2">
        <v>0.46875</v>
      </c>
      <c r="F66">
        <v>22.5</v>
      </c>
      <c r="G66">
        <v>60.3</v>
      </c>
      <c r="H66">
        <v>5.46</v>
      </c>
      <c r="I66">
        <v>23</v>
      </c>
      <c r="J66">
        <v>125</v>
      </c>
    </row>
    <row r="67" spans="1:11" x14ac:dyDescent="0.25">
      <c r="A67" s="1">
        <v>45243</v>
      </c>
      <c r="B67" t="s">
        <v>42</v>
      </c>
      <c r="C67" t="s">
        <v>284</v>
      </c>
      <c r="D67" t="s">
        <v>57</v>
      </c>
      <c r="E67" s="2">
        <v>0.47222222222222227</v>
      </c>
      <c r="F67">
        <v>22.2</v>
      </c>
      <c r="G67">
        <v>60.4</v>
      </c>
      <c r="H67">
        <v>5.38</v>
      </c>
      <c r="I67">
        <v>22</v>
      </c>
      <c r="J67">
        <v>164</v>
      </c>
    </row>
    <row r="68" spans="1:11" x14ac:dyDescent="0.25">
      <c r="A68" s="1">
        <v>45243</v>
      </c>
      <c r="B68" t="s">
        <v>42</v>
      </c>
      <c r="C68" t="s">
        <v>284</v>
      </c>
      <c r="D68" t="s">
        <v>58</v>
      </c>
      <c r="E68" s="2">
        <v>0.47291666666666665</v>
      </c>
      <c r="F68">
        <v>22</v>
      </c>
      <c r="G68">
        <v>60.8</v>
      </c>
      <c r="H68">
        <v>4.87</v>
      </c>
      <c r="I68">
        <v>22</v>
      </c>
      <c r="J68">
        <v>110</v>
      </c>
    </row>
    <row r="69" spans="1:11" x14ac:dyDescent="0.25">
      <c r="A69" s="1">
        <v>45243</v>
      </c>
      <c r="B69" t="s">
        <v>42</v>
      </c>
      <c r="C69" t="s">
        <v>284</v>
      </c>
      <c r="D69" t="s">
        <v>43</v>
      </c>
      <c r="E69" s="2">
        <v>0.47083333333333338</v>
      </c>
      <c r="F69">
        <v>21.9</v>
      </c>
      <c r="G69">
        <v>60.9</v>
      </c>
      <c r="H69">
        <v>5.0199999999999996</v>
      </c>
      <c r="I69">
        <v>23</v>
      </c>
      <c r="J69">
        <v>148</v>
      </c>
      <c r="K69">
        <f>AVERAGE(28.4,29)</f>
        <v>28.7</v>
      </c>
    </row>
    <row r="70" spans="1:11" x14ac:dyDescent="0.25">
      <c r="A70" s="1">
        <v>45243</v>
      </c>
      <c r="B70" t="s">
        <v>42</v>
      </c>
      <c r="C70" t="s">
        <v>284</v>
      </c>
      <c r="D70" t="s">
        <v>55</v>
      </c>
      <c r="E70" s="2">
        <v>0.47430555555555554</v>
      </c>
      <c r="F70">
        <v>21.9</v>
      </c>
      <c r="G70">
        <v>60</v>
      </c>
      <c r="H70">
        <v>4.8600000000000003</v>
      </c>
      <c r="I70">
        <v>23</v>
      </c>
      <c r="J70">
        <v>117</v>
      </c>
    </row>
    <row r="71" spans="1:11" x14ac:dyDescent="0.25">
      <c r="A71" s="1">
        <v>45243</v>
      </c>
      <c r="B71" t="s">
        <v>42</v>
      </c>
      <c r="C71" t="s">
        <v>284</v>
      </c>
      <c r="D71" t="s">
        <v>44</v>
      </c>
      <c r="E71" s="2">
        <v>0.47569444444444442</v>
      </c>
      <c r="F71">
        <v>21.9</v>
      </c>
      <c r="G71">
        <v>61.7</v>
      </c>
      <c r="H71">
        <v>4.68</v>
      </c>
      <c r="I71">
        <v>22</v>
      </c>
      <c r="J71">
        <v>60</v>
      </c>
      <c r="K71">
        <f>AVERAGE(30,30.2)</f>
        <v>30.1</v>
      </c>
    </row>
    <row r="72" spans="1:11" x14ac:dyDescent="0.25">
      <c r="A72" s="1">
        <v>45245</v>
      </c>
      <c r="B72" t="s">
        <v>42</v>
      </c>
      <c r="C72" t="s">
        <v>284</v>
      </c>
      <c r="D72" t="s">
        <v>43</v>
      </c>
      <c r="E72" s="2">
        <v>0.40416666666666662</v>
      </c>
      <c r="F72">
        <v>22.7</v>
      </c>
      <c r="G72">
        <v>57.8</v>
      </c>
      <c r="H72">
        <v>5.0999999999999996</v>
      </c>
      <c r="I72">
        <v>19</v>
      </c>
      <c r="J72">
        <v>149.5</v>
      </c>
      <c r="K72">
        <f>AVERAGE(22.1,22)</f>
        <v>22.05</v>
      </c>
    </row>
    <row r="73" spans="1:11" x14ac:dyDescent="0.25">
      <c r="A73" s="1">
        <v>45245</v>
      </c>
      <c r="B73" t="s">
        <v>42</v>
      </c>
      <c r="C73" t="s">
        <v>284</v>
      </c>
      <c r="D73" t="s">
        <v>55</v>
      </c>
      <c r="E73" s="2">
        <v>0.4055555555555555</v>
      </c>
      <c r="F73">
        <v>22.5</v>
      </c>
      <c r="G73">
        <v>59.8</v>
      </c>
      <c r="H73">
        <v>4.8600000000000003</v>
      </c>
      <c r="I73">
        <v>19</v>
      </c>
      <c r="J73">
        <v>117</v>
      </c>
    </row>
    <row r="74" spans="1:11" x14ac:dyDescent="0.25">
      <c r="A74" s="1">
        <v>45245</v>
      </c>
      <c r="B74" t="s">
        <v>42</v>
      </c>
      <c r="C74" t="s">
        <v>284</v>
      </c>
      <c r="D74" t="s">
        <v>44</v>
      </c>
      <c r="E74" s="2">
        <v>0.4069444444444445</v>
      </c>
      <c r="F74">
        <v>22.4</v>
      </c>
      <c r="G74">
        <v>61.3</v>
      </c>
      <c r="H74">
        <v>4.68</v>
      </c>
      <c r="I74">
        <v>18</v>
      </c>
      <c r="J74">
        <v>59</v>
      </c>
      <c r="K74">
        <v>22.1</v>
      </c>
    </row>
    <row r="75" spans="1:11" x14ac:dyDescent="0.25">
      <c r="A75" s="1">
        <v>45245</v>
      </c>
      <c r="B75" t="s">
        <v>42</v>
      </c>
      <c r="C75" t="s">
        <v>284</v>
      </c>
      <c r="D75" t="s">
        <v>56</v>
      </c>
      <c r="E75" s="2">
        <v>0.41041666666666665</v>
      </c>
      <c r="F75">
        <v>22.4</v>
      </c>
      <c r="G75">
        <v>59.7</v>
      </c>
      <c r="H75">
        <v>4.7</v>
      </c>
      <c r="I75">
        <v>18</v>
      </c>
      <c r="J75">
        <v>147</v>
      </c>
    </row>
    <row r="76" spans="1:11" x14ac:dyDescent="0.25">
      <c r="A76" s="1">
        <v>45245</v>
      </c>
      <c r="B76" t="s">
        <v>42</v>
      </c>
      <c r="C76" t="s">
        <v>284</v>
      </c>
      <c r="D76" t="s">
        <v>57</v>
      </c>
      <c r="E76" s="2">
        <v>0.41180555555555554</v>
      </c>
      <c r="F76">
        <v>22.4</v>
      </c>
      <c r="G76">
        <v>60.2</v>
      </c>
      <c r="H76">
        <v>4.71</v>
      </c>
      <c r="I76">
        <v>18</v>
      </c>
      <c r="J76">
        <v>174</v>
      </c>
    </row>
    <row r="77" spans="1:11" x14ac:dyDescent="0.25">
      <c r="A77" s="1">
        <v>45245</v>
      </c>
      <c r="B77" t="s">
        <v>42</v>
      </c>
      <c r="C77" t="s">
        <v>284</v>
      </c>
      <c r="D77" t="s">
        <v>58</v>
      </c>
      <c r="E77" s="2">
        <v>0.41319444444444442</v>
      </c>
      <c r="F77">
        <v>22.3</v>
      </c>
      <c r="G77">
        <v>59.7</v>
      </c>
      <c r="H77">
        <v>4.7300000000000004</v>
      </c>
      <c r="I77">
        <v>18</v>
      </c>
      <c r="J77">
        <v>170</v>
      </c>
    </row>
    <row r="78" spans="1:11" x14ac:dyDescent="0.25">
      <c r="A78" s="1">
        <v>45250</v>
      </c>
      <c r="B78" t="s">
        <v>42</v>
      </c>
      <c r="C78" t="s">
        <v>284</v>
      </c>
      <c r="D78" t="s">
        <v>43</v>
      </c>
      <c r="E78" s="2">
        <v>0.49374999999999997</v>
      </c>
      <c r="F78">
        <v>25.2</v>
      </c>
      <c r="G78">
        <v>66.3</v>
      </c>
      <c r="H78">
        <v>4.72</v>
      </c>
      <c r="I78">
        <v>21</v>
      </c>
      <c r="J78">
        <v>154</v>
      </c>
      <c r="K78">
        <v>22.45</v>
      </c>
    </row>
    <row r="79" spans="1:11" x14ac:dyDescent="0.25">
      <c r="A79" s="1">
        <v>45250</v>
      </c>
      <c r="B79" t="s">
        <v>42</v>
      </c>
      <c r="C79" t="s">
        <v>284</v>
      </c>
      <c r="D79" t="s">
        <v>55</v>
      </c>
      <c r="E79" s="2">
        <v>0.49444444444444446</v>
      </c>
      <c r="F79">
        <v>24</v>
      </c>
      <c r="G79">
        <v>72.2</v>
      </c>
      <c r="H79">
        <v>4.66</v>
      </c>
      <c r="I79">
        <v>21</v>
      </c>
      <c r="J79">
        <v>144</v>
      </c>
    </row>
    <row r="80" spans="1:11" x14ac:dyDescent="0.25">
      <c r="A80" s="1">
        <v>45250</v>
      </c>
      <c r="B80" t="s">
        <v>42</v>
      </c>
      <c r="C80" t="s">
        <v>284</v>
      </c>
      <c r="D80" t="s">
        <v>44</v>
      </c>
      <c r="E80" s="2">
        <v>0.49513888888888885</v>
      </c>
      <c r="F80">
        <v>23.4</v>
      </c>
      <c r="G80">
        <v>77</v>
      </c>
      <c r="H80">
        <v>4.75</v>
      </c>
      <c r="I80">
        <v>20</v>
      </c>
      <c r="J80">
        <v>49</v>
      </c>
      <c r="K80">
        <v>20.25</v>
      </c>
    </row>
    <row r="81" spans="1:11" x14ac:dyDescent="0.25">
      <c r="A81" s="1">
        <v>45250</v>
      </c>
      <c r="B81" t="s">
        <v>42</v>
      </c>
      <c r="C81" t="s">
        <v>284</v>
      </c>
      <c r="D81" t="s">
        <v>56</v>
      </c>
      <c r="E81" s="2">
        <v>0.50069444444444444</v>
      </c>
      <c r="F81">
        <v>24.5</v>
      </c>
      <c r="G81">
        <v>74.400000000000006</v>
      </c>
      <c r="H81">
        <v>5.83</v>
      </c>
      <c r="I81">
        <v>20</v>
      </c>
      <c r="J81">
        <v>81</v>
      </c>
    </row>
    <row r="82" spans="1:11" x14ac:dyDescent="0.25">
      <c r="A82" s="1">
        <v>45250</v>
      </c>
      <c r="B82" t="s">
        <v>42</v>
      </c>
      <c r="C82" t="s">
        <v>284</v>
      </c>
      <c r="D82" t="s">
        <v>57</v>
      </c>
      <c r="E82" s="2">
        <v>0.50208333333333333</v>
      </c>
      <c r="F82">
        <v>23.6</v>
      </c>
      <c r="G82">
        <v>70.7</v>
      </c>
      <c r="H82">
        <v>5.01</v>
      </c>
      <c r="I82">
        <v>21</v>
      </c>
      <c r="J82">
        <v>144</v>
      </c>
    </row>
    <row r="83" spans="1:11" x14ac:dyDescent="0.25">
      <c r="A83" s="1">
        <v>45250</v>
      </c>
      <c r="B83" t="s">
        <v>42</v>
      </c>
      <c r="C83" t="s">
        <v>284</v>
      </c>
      <c r="D83" t="s">
        <v>58</v>
      </c>
      <c r="E83" s="2">
        <v>0.50347222222222221</v>
      </c>
      <c r="F83">
        <v>23.4</v>
      </c>
      <c r="G83">
        <v>74.3</v>
      </c>
      <c r="H83">
        <v>4.66</v>
      </c>
      <c r="I83">
        <v>21</v>
      </c>
      <c r="J83">
        <v>116</v>
      </c>
    </row>
    <row r="84" spans="1:11" x14ac:dyDescent="0.25">
      <c r="A84" s="1">
        <v>45252</v>
      </c>
      <c r="B84" t="s">
        <v>42</v>
      </c>
      <c r="C84" t="s">
        <v>284</v>
      </c>
      <c r="D84" t="s">
        <v>43</v>
      </c>
      <c r="E84" s="2">
        <v>0.46458333333333335</v>
      </c>
      <c r="F84">
        <v>23.3</v>
      </c>
      <c r="G84">
        <v>63.8</v>
      </c>
      <c r="H84">
        <v>4.5599999999999996</v>
      </c>
      <c r="I84">
        <v>20</v>
      </c>
      <c r="J84">
        <v>156</v>
      </c>
      <c r="K84">
        <v>17.55</v>
      </c>
    </row>
    <row r="85" spans="1:11" x14ac:dyDescent="0.25">
      <c r="A85" s="1">
        <v>45252</v>
      </c>
      <c r="B85" t="s">
        <v>42</v>
      </c>
      <c r="C85" t="s">
        <v>284</v>
      </c>
      <c r="D85" t="s">
        <v>55</v>
      </c>
      <c r="E85" s="2">
        <v>0.46527777777777773</v>
      </c>
      <c r="F85">
        <v>23.2</v>
      </c>
      <c r="G85">
        <v>64.599999999999994</v>
      </c>
      <c r="H85">
        <v>4.62</v>
      </c>
      <c r="I85">
        <v>20</v>
      </c>
      <c r="J85">
        <v>147</v>
      </c>
    </row>
    <row r="86" spans="1:11" x14ac:dyDescent="0.25">
      <c r="A86" s="1">
        <v>45252</v>
      </c>
      <c r="B86" t="s">
        <v>42</v>
      </c>
      <c r="C86" t="s">
        <v>284</v>
      </c>
      <c r="D86" t="s">
        <v>44</v>
      </c>
      <c r="E86" s="2">
        <v>0.46666666666666662</v>
      </c>
      <c r="F86">
        <v>23.1</v>
      </c>
      <c r="G86">
        <v>71.099999999999994</v>
      </c>
      <c r="H86">
        <v>4.63</v>
      </c>
      <c r="I86">
        <v>20</v>
      </c>
      <c r="J86">
        <v>67</v>
      </c>
      <c r="K86">
        <v>17.8</v>
      </c>
    </row>
    <row r="87" spans="1:11" x14ac:dyDescent="0.25">
      <c r="A87" s="1">
        <v>45252</v>
      </c>
      <c r="B87" t="s">
        <v>42</v>
      </c>
      <c r="C87" t="s">
        <v>284</v>
      </c>
      <c r="D87" t="s">
        <v>56</v>
      </c>
      <c r="E87" s="2">
        <v>0.46875</v>
      </c>
      <c r="F87">
        <v>23.1</v>
      </c>
      <c r="G87">
        <v>66.099999999999994</v>
      </c>
      <c r="H87">
        <v>4.6500000000000004</v>
      </c>
      <c r="I87">
        <v>19</v>
      </c>
      <c r="J87">
        <v>189</v>
      </c>
    </row>
    <row r="88" spans="1:11" x14ac:dyDescent="0.25">
      <c r="A88" s="1">
        <v>45252</v>
      </c>
      <c r="B88" t="s">
        <v>42</v>
      </c>
      <c r="C88" t="s">
        <v>284</v>
      </c>
      <c r="D88" t="s">
        <v>57</v>
      </c>
      <c r="E88" s="2">
        <v>0.4694444444444445</v>
      </c>
      <c r="F88">
        <v>23.1</v>
      </c>
      <c r="G88">
        <v>67.099999999999994</v>
      </c>
      <c r="H88">
        <v>4.67</v>
      </c>
      <c r="I88">
        <v>20</v>
      </c>
      <c r="J88">
        <v>152</v>
      </c>
    </row>
    <row r="89" spans="1:11" x14ac:dyDescent="0.25">
      <c r="A89" s="1">
        <v>45252</v>
      </c>
      <c r="B89" t="s">
        <v>42</v>
      </c>
      <c r="C89" t="s">
        <v>284</v>
      </c>
      <c r="D89" t="s">
        <v>58</v>
      </c>
      <c r="E89" s="2">
        <v>0.47083333333333338</v>
      </c>
      <c r="F89">
        <v>23.1</v>
      </c>
      <c r="G89">
        <v>65.599999999999994</v>
      </c>
      <c r="H89">
        <v>4.68</v>
      </c>
      <c r="I89">
        <v>20</v>
      </c>
      <c r="J89">
        <v>175</v>
      </c>
    </row>
    <row r="90" spans="1:11" x14ac:dyDescent="0.25">
      <c r="A90" s="1">
        <v>45255</v>
      </c>
      <c r="B90" t="s">
        <v>42</v>
      </c>
      <c r="C90" t="s">
        <v>284</v>
      </c>
      <c r="D90" t="s">
        <v>43</v>
      </c>
      <c r="E90" s="2">
        <v>0.4236111111111111</v>
      </c>
      <c r="F90">
        <v>23.4</v>
      </c>
      <c r="G90">
        <v>50.7</v>
      </c>
      <c r="H90">
        <v>5.19</v>
      </c>
      <c r="I90">
        <v>21</v>
      </c>
      <c r="J90">
        <v>149</v>
      </c>
      <c r="K90">
        <v>20.5</v>
      </c>
    </row>
    <row r="91" spans="1:11" x14ac:dyDescent="0.25">
      <c r="A91" s="1">
        <v>45255</v>
      </c>
      <c r="B91" t="s">
        <v>42</v>
      </c>
      <c r="C91" t="s">
        <v>284</v>
      </c>
      <c r="D91" t="s">
        <v>55</v>
      </c>
      <c r="E91" s="2">
        <v>0.42499999999999999</v>
      </c>
      <c r="F91">
        <v>23</v>
      </c>
      <c r="G91">
        <v>56.3</v>
      </c>
      <c r="H91">
        <v>4.59</v>
      </c>
      <c r="I91">
        <v>20</v>
      </c>
      <c r="J91">
        <v>186</v>
      </c>
    </row>
    <row r="92" spans="1:11" x14ac:dyDescent="0.25">
      <c r="A92" s="1">
        <v>45255</v>
      </c>
      <c r="B92" t="s">
        <v>42</v>
      </c>
      <c r="C92" t="s">
        <v>284</v>
      </c>
      <c r="D92" t="s">
        <v>44</v>
      </c>
      <c r="E92" s="2">
        <v>0.42569444444444443</v>
      </c>
      <c r="F92">
        <v>22.9</v>
      </c>
      <c r="G92">
        <v>60.7</v>
      </c>
      <c r="H92">
        <v>4.4000000000000004</v>
      </c>
      <c r="I92">
        <v>20</v>
      </c>
      <c r="J92">
        <v>67</v>
      </c>
      <c r="K92">
        <v>19.850000000000001</v>
      </c>
    </row>
    <row r="93" spans="1:11" x14ac:dyDescent="0.25">
      <c r="A93" s="1">
        <v>45255</v>
      </c>
      <c r="B93" t="s">
        <v>42</v>
      </c>
      <c r="C93" t="s">
        <v>284</v>
      </c>
      <c r="D93" t="s">
        <v>56</v>
      </c>
      <c r="E93" s="2">
        <v>0.43611111111111112</v>
      </c>
      <c r="F93">
        <v>22.9</v>
      </c>
      <c r="G93">
        <v>58.1</v>
      </c>
      <c r="H93">
        <v>4.43</v>
      </c>
      <c r="I93">
        <v>19</v>
      </c>
      <c r="J93">
        <v>174</v>
      </c>
    </row>
    <row r="94" spans="1:11" x14ac:dyDescent="0.25">
      <c r="A94" s="1">
        <v>45255</v>
      </c>
      <c r="B94" t="s">
        <v>42</v>
      </c>
      <c r="C94" t="s">
        <v>284</v>
      </c>
      <c r="D94" t="s">
        <v>57</v>
      </c>
      <c r="E94" s="2">
        <v>0.43541666666666662</v>
      </c>
      <c r="F94">
        <v>22.9</v>
      </c>
      <c r="G94">
        <v>57.6</v>
      </c>
      <c r="H94">
        <v>4.6100000000000003</v>
      </c>
      <c r="I94">
        <v>20</v>
      </c>
      <c r="J94">
        <v>163</v>
      </c>
    </row>
    <row r="95" spans="1:11" x14ac:dyDescent="0.25">
      <c r="A95" s="1">
        <v>45255</v>
      </c>
      <c r="B95" t="s">
        <v>42</v>
      </c>
      <c r="C95" t="s">
        <v>284</v>
      </c>
      <c r="D95" t="s">
        <v>58</v>
      </c>
      <c r="E95" s="2">
        <v>0.43472222222222223</v>
      </c>
      <c r="F95">
        <v>22.9</v>
      </c>
      <c r="G95">
        <v>57.5</v>
      </c>
      <c r="H95">
        <v>5.2</v>
      </c>
      <c r="I95">
        <v>21</v>
      </c>
      <c r="J95">
        <v>155</v>
      </c>
    </row>
    <row r="96" spans="1:11" x14ac:dyDescent="0.25">
      <c r="A96" s="1">
        <v>45257</v>
      </c>
      <c r="B96" t="s">
        <v>42</v>
      </c>
      <c r="C96" t="s">
        <v>284</v>
      </c>
      <c r="D96" t="s">
        <v>43</v>
      </c>
      <c r="E96" s="2">
        <v>0.40069444444444446</v>
      </c>
      <c r="F96">
        <v>22.4</v>
      </c>
      <c r="G96">
        <v>57.1</v>
      </c>
      <c r="H96">
        <v>5.0199999999999996</v>
      </c>
      <c r="I96">
        <v>21</v>
      </c>
      <c r="J96">
        <v>141</v>
      </c>
      <c r="K96">
        <v>18.25</v>
      </c>
    </row>
    <row r="97" spans="1:11" x14ac:dyDescent="0.25">
      <c r="A97" s="1">
        <v>45257</v>
      </c>
      <c r="B97" t="s">
        <v>42</v>
      </c>
      <c r="C97" t="s">
        <v>284</v>
      </c>
      <c r="D97" t="s">
        <v>55</v>
      </c>
      <c r="E97" s="2">
        <v>0.40208333333333335</v>
      </c>
      <c r="F97">
        <v>22.4</v>
      </c>
      <c r="G97">
        <v>61.3</v>
      </c>
      <c r="H97">
        <v>4.2</v>
      </c>
      <c r="I97">
        <v>21</v>
      </c>
      <c r="J97">
        <v>133</v>
      </c>
    </row>
    <row r="98" spans="1:11" x14ac:dyDescent="0.25">
      <c r="A98" s="1">
        <v>45257</v>
      </c>
      <c r="B98" t="s">
        <v>42</v>
      </c>
      <c r="C98" t="s">
        <v>284</v>
      </c>
      <c r="D98" t="s">
        <v>44</v>
      </c>
      <c r="E98" s="2">
        <v>0.40277777777777773</v>
      </c>
      <c r="F98">
        <v>22.3</v>
      </c>
      <c r="G98">
        <v>64.400000000000006</v>
      </c>
      <c r="H98">
        <v>4.3</v>
      </c>
      <c r="I98">
        <v>20</v>
      </c>
      <c r="J98">
        <v>63</v>
      </c>
      <c r="K98">
        <v>17.25</v>
      </c>
    </row>
    <row r="99" spans="1:11" x14ac:dyDescent="0.25">
      <c r="A99" s="1">
        <v>45257</v>
      </c>
      <c r="B99" t="s">
        <v>42</v>
      </c>
      <c r="C99" t="s">
        <v>284</v>
      </c>
      <c r="D99" t="s">
        <v>56</v>
      </c>
      <c r="E99" s="2">
        <v>0.40486111111111112</v>
      </c>
      <c r="F99">
        <v>22.3</v>
      </c>
      <c r="G99">
        <v>61.7</v>
      </c>
      <c r="H99">
        <v>4.26</v>
      </c>
      <c r="I99">
        <v>20</v>
      </c>
      <c r="J99">
        <v>178</v>
      </c>
    </row>
    <row r="100" spans="1:11" x14ac:dyDescent="0.25">
      <c r="A100" s="1">
        <v>45257</v>
      </c>
      <c r="B100" t="s">
        <v>42</v>
      </c>
      <c r="C100" t="s">
        <v>284</v>
      </c>
      <c r="D100" t="s">
        <v>57</v>
      </c>
      <c r="E100" s="2">
        <v>0.4055555555555555</v>
      </c>
      <c r="F100">
        <v>22.3</v>
      </c>
      <c r="G100">
        <v>62.4</v>
      </c>
      <c r="H100">
        <v>4.28</v>
      </c>
      <c r="I100">
        <v>20</v>
      </c>
      <c r="J100">
        <v>168</v>
      </c>
    </row>
    <row r="101" spans="1:11" x14ac:dyDescent="0.25">
      <c r="A101" s="1">
        <v>45257</v>
      </c>
      <c r="B101" t="s">
        <v>42</v>
      </c>
      <c r="C101" t="s">
        <v>284</v>
      </c>
      <c r="D101" t="s">
        <v>58</v>
      </c>
      <c r="E101" s="2">
        <v>0.4069444444444445</v>
      </c>
      <c r="F101">
        <v>22.3</v>
      </c>
      <c r="G101">
        <v>61.2</v>
      </c>
      <c r="H101">
        <v>4.29</v>
      </c>
      <c r="I101">
        <v>20</v>
      </c>
      <c r="J101">
        <v>149</v>
      </c>
    </row>
    <row r="102" spans="1:11" x14ac:dyDescent="0.25">
      <c r="A102" s="1">
        <v>45255</v>
      </c>
      <c r="B102" t="s">
        <v>42</v>
      </c>
      <c r="C102" t="s">
        <v>223</v>
      </c>
      <c r="D102" t="s">
        <v>233</v>
      </c>
      <c r="E102" s="2">
        <v>0.4458333333333333</v>
      </c>
      <c r="F102">
        <v>23.5</v>
      </c>
      <c r="G102">
        <v>59.8</v>
      </c>
      <c r="H102">
        <v>5.68</v>
      </c>
      <c r="I102">
        <v>20</v>
      </c>
      <c r="J102">
        <v>41</v>
      </c>
    </row>
    <row r="103" spans="1:11" x14ac:dyDescent="0.25">
      <c r="A103" s="1">
        <v>45255</v>
      </c>
      <c r="B103" t="s">
        <v>42</v>
      </c>
      <c r="C103" t="s">
        <v>223</v>
      </c>
      <c r="D103" t="s">
        <v>234</v>
      </c>
      <c r="E103" s="2">
        <v>0.44722222222222219</v>
      </c>
      <c r="F103">
        <v>23.2</v>
      </c>
      <c r="G103">
        <v>61.2</v>
      </c>
      <c r="H103">
        <v>5.42</v>
      </c>
      <c r="I103">
        <v>20</v>
      </c>
      <c r="J103">
        <v>57</v>
      </c>
    </row>
    <row r="104" spans="1:11" x14ac:dyDescent="0.25">
      <c r="A104" s="1">
        <v>45255</v>
      </c>
      <c r="B104" t="s">
        <v>42</v>
      </c>
      <c r="C104" t="s">
        <v>223</v>
      </c>
      <c r="D104" t="s">
        <v>235</v>
      </c>
      <c r="E104" s="2">
        <v>0.44791666666666669</v>
      </c>
      <c r="F104">
        <v>23.1</v>
      </c>
      <c r="G104">
        <v>61.5</v>
      </c>
      <c r="H104">
        <v>4.84</v>
      </c>
      <c r="I104">
        <v>20</v>
      </c>
      <c r="J104">
        <v>65</v>
      </c>
    </row>
    <row r="105" spans="1:11" x14ac:dyDescent="0.25">
      <c r="A105" s="1">
        <v>45257</v>
      </c>
      <c r="B105" t="s">
        <v>42</v>
      </c>
      <c r="C105" t="s">
        <v>223</v>
      </c>
      <c r="D105" t="s">
        <v>233</v>
      </c>
      <c r="E105" s="2">
        <v>0.4145833333333333</v>
      </c>
      <c r="F105">
        <v>22.7</v>
      </c>
      <c r="G105">
        <v>63.1</v>
      </c>
      <c r="H105">
        <v>5.26</v>
      </c>
      <c r="I105">
        <v>21</v>
      </c>
      <c r="J105">
        <v>45</v>
      </c>
    </row>
    <row r="106" spans="1:11" x14ac:dyDescent="0.25">
      <c r="A106" s="1">
        <v>45257</v>
      </c>
      <c r="B106" t="s">
        <v>42</v>
      </c>
      <c r="C106" t="s">
        <v>223</v>
      </c>
      <c r="D106" t="s">
        <v>234</v>
      </c>
      <c r="E106" s="2">
        <v>0.41597222222222219</v>
      </c>
      <c r="F106">
        <v>22.5</v>
      </c>
      <c r="G106">
        <v>64.099999999999994</v>
      </c>
      <c r="H106">
        <v>4.8499999999999996</v>
      </c>
      <c r="I106">
        <v>20</v>
      </c>
      <c r="J106">
        <v>63</v>
      </c>
    </row>
    <row r="107" spans="1:11" x14ac:dyDescent="0.25">
      <c r="A107" s="1">
        <v>45257</v>
      </c>
      <c r="B107" t="s">
        <v>42</v>
      </c>
      <c r="C107" t="s">
        <v>223</v>
      </c>
      <c r="D107" t="s">
        <v>235</v>
      </c>
      <c r="E107" s="2">
        <v>0.41666666666666669</v>
      </c>
      <c r="F107">
        <v>22.5</v>
      </c>
      <c r="G107">
        <v>64.400000000000006</v>
      </c>
      <c r="H107">
        <v>4.57</v>
      </c>
      <c r="I107">
        <v>19</v>
      </c>
      <c r="J107">
        <v>75</v>
      </c>
    </row>
    <row r="108" spans="1:11" x14ac:dyDescent="0.25">
      <c r="A108" s="1">
        <v>45208</v>
      </c>
      <c r="B108" t="s">
        <v>45</v>
      </c>
      <c r="C108" t="s">
        <v>170</v>
      </c>
      <c r="D108" t="s">
        <v>158</v>
      </c>
      <c r="E108" s="2">
        <v>0.46249999999999997</v>
      </c>
      <c r="F108">
        <v>27.8</v>
      </c>
      <c r="G108">
        <v>94.7</v>
      </c>
      <c r="H108">
        <v>5.3</v>
      </c>
      <c r="I108">
        <v>22</v>
      </c>
      <c r="J108">
        <v>58</v>
      </c>
    </row>
    <row r="109" spans="1:11" x14ac:dyDescent="0.25">
      <c r="A109" s="1">
        <v>45208</v>
      </c>
      <c r="B109" t="s">
        <v>45</v>
      </c>
      <c r="C109" t="s">
        <v>170</v>
      </c>
      <c r="D109" t="s">
        <v>159</v>
      </c>
      <c r="E109" s="2">
        <v>0.4680555555555555</v>
      </c>
      <c r="F109">
        <v>28.9</v>
      </c>
      <c r="G109">
        <v>95.2</v>
      </c>
      <c r="H109">
        <v>4.9000000000000004</v>
      </c>
      <c r="I109">
        <v>22</v>
      </c>
      <c r="J109">
        <v>75</v>
      </c>
    </row>
    <row r="110" spans="1:11" x14ac:dyDescent="0.25">
      <c r="A110" s="1">
        <v>45208</v>
      </c>
      <c r="B110" t="s">
        <v>45</v>
      </c>
      <c r="C110" t="s">
        <v>170</v>
      </c>
      <c r="D110" t="s">
        <v>236</v>
      </c>
      <c r="E110" s="2">
        <v>0.47569444444444442</v>
      </c>
      <c r="F110">
        <v>29.3</v>
      </c>
      <c r="G110">
        <v>97.7</v>
      </c>
      <c r="H110">
        <v>4.8</v>
      </c>
      <c r="I110">
        <v>22</v>
      </c>
      <c r="J110">
        <v>106</v>
      </c>
    </row>
    <row r="111" spans="1:11" x14ac:dyDescent="0.25">
      <c r="A111" s="1">
        <v>45210</v>
      </c>
      <c r="B111" t="s">
        <v>45</v>
      </c>
      <c r="C111" t="s">
        <v>170</v>
      </c>
      <c r="D111" t="s">
        <v>158</v>
      </c>
      <c r="E111" s="2">
        <v>0.40972222222222227</v>
      </c>
      <c r="F111">
        <v>25.2</v>
      </c>
      <c r="G111">
        <v>56.5</v>
      </c>
      <c r="H111">
        <v>5.38</v>
      </c>
      <c r="I111">
        <v>23</v>
      </c>
      <c r="J111">
        <v>57</v>
      </c>
    </row>
    <row r="112" spans="1:11" x14ac:dyDescent="0.25">
      <c r="A112" s="1">
        <v>45210</v>
      </c>
      <c r="B112" t="s">
        <v>45</v>
      </c>
      <c r="C112" t="s">
        <v>170</v>
      </c>
      <c r="D112" t="s">
        <v>159</v>
      </c>
      <c r="E112" s="2">
        <v>0.40972222222222227</v>
      </c>
      <c r="F112">
        <v>25</v>
      </c>
      <c r="G112">
        <v>61.1</v>
      </c>
      <c r="H112">
        <v>4.92</v>
      </c>
      <c r="I112">
        <v>22</v>
      </c>
      <c r="J112">
        <v>84</v>
      </c>
    </row>
    <row r="113" spans="1:11" x14ac:dyDescent="0.25">
      <c r="A113" s="1">
        <v>45210</v>
      </c>
      <c r="B113" t="s">
        <v>45</v>
      </c>
      <c r="C113" t="s">
        <v>170</v>
      </c>
      <c r="D113" t="s">
        <v>236</v>
      </c>
      <c r="E113" s="2">
        <v>0.40972222222222227</v>
      </c>
      <c r="F113">
        <v>24.6</v>
      </c>
      <c r="G113">
        <v>62.1</v>
      </c>
      <c r="H113">
        <v>4.96</v>
      </c>
      <c r="I113">
        <v>23</v>
      </c>
      <c r="J113">
        <v>85</v>
      </c>
    </row>
    <row r="114" spans="1:11" x14ac:dyDescent="0.25">
      <c r="A114" s="1">
        <v>45250</v>
      </c>
      <c r="B114" t="s">
        <v>45</v>
      </c>
      <c r="C114" t="s">
        <v>192</v>
      </c>
      <c r="D114" t="s">
        <v>156</v>
      </c>
      <c r="E114" s="2">
        <v>0.41944444444444445</v>
      </c>
      <c r="F114">
        <v>27.3</v>
      </c>
      <c r="G114">
        <v>98.5</v>
      </c>
      <c r="H114">
        <v>5.88</v>
      </c>
      <c r="I114">
        <v>19</v>
      </c>
      <c r="J114">
        <v>410</v>
      </c>
      <c r="K114">
        <f>AVERAGE(8.55,8.09)</f>
        <v>8.32</v>
      </c>
    </row>
    <row r="115" spans="1:11" x14ac:dyDescent="0.25">
      <c r="A115" s="1">
        <v>45250</v>
      </c>
      <c r="B115" t="s">
        <v>45</v>
      </c>
      <c r="C115" t="s">
        <v>192</v>
      </c>
      <c r="D115" t="s">
        <v>157</v>
      </c>
      <c r="E115" s="2">
        <v>0.42083333333333334</v>
      </c>
      <c r="F115">
        <v>26.9</v>
      </c>
      <c r="G115">
        <v>97.2</v>
      </c>
    </row>
    <row r="116" spans="1:11" x14ac:dyDescent="0.25">
      <c r="A116" s="1">
        <v>45250</v>
      </c>
      <c r="B116" t="s">
        <v>45</v>
      </c>
      <c r="C116" t="s">
        <v>192</v>
      </c>
      <c r="D116" t="s">
        <v>237</v>
      </c>
      <c r="E116" s="2">
        <v>0.42222222222222222</v>
      </c>
      <c r="F116">
        <v>29.5</v>
      </c>
      <c r="G116">
        <v>98.8</v>
      </c>
    </row>
    <row r="117" spans="1:11" x14ac:dyDescent="0.25">
      <c r="A117" s="1">
        <v>45252</v>
      </c>
      <c r="B117" t="s">
        <v>45</v>
      </c>
      <c r="C117" t="s">
        <v>192</v>
      </c>
      <c r="D117" t="s">
        <v>156</v>
      </c>
      <c r="E117" s="2">
        <v>0.39097222222222222</v>
      </c>
      <c r="F117">
        <v>24.4</v>
      </c>
      <c r="G117">
        <v>66.8</v>
      </c>
      <c r="H117">
        <v>4.97</v>
      </c>
      <c r="I117">
        <v>20</v>
      </c>
      <c r="J117">
        <v>410</v>
      </c>
      <c r="K117">
        <f>AVERAGE(8.15,7.86)</f>
        <v>8.0050000000000008</v>
      </c>
    </row>
    <row r="118" spans="1:11" x14ac:dyDescent="0.25">
      <c r="A118" s="1">
        <v>45252</v>
      </c>
      <c r="B118" t="s">
        <v>45</v>
      </c>
      <c r="C118" t="s">
        <v>192</v>
      </c>
      <c r="D118" t="s">
        <v>157</v>
      </c>
      <c r="E118" s="2">
        <v>0.39166666666666666</v>
      </c>
      <c r="F118">
        <v>24.6</v>
      </c>
      <c r="G118">
        <v>65.3</v>
      </c>
    </row>
    <row r="119" spans="1:11" x14ac:dyDescent="0.25">
      <c r="A119" s="1">
        <v>45252</v>
      </c>
      <c r="B119" t="s">
        <v>45</v>
      </c>
      <c r="C119" t="s">
        <v>192</v>
      </c>
      <c r="D119" t="s">
        <v>237</v>
      </c>
      <c r="E119" s="2">
        <v>0.39166666666666666</v>
      </c>
      <c r="F119">
        <v>24.7</v>
      </c>
      <c r="G119">
        <v>67.099999999999994</v>
      </c>
    </row>
    <row r="120" spans="1:11" x14ac:dyDescent="0.25">
      <c r="A120" s="1">
        <v>45250</v>
      </c>
      <c r="B120" t="s">
        <v>45</v>
      </c>
      <c r="C120" t="s">
        <v>193</v>
      </c>
      <c r="D120" t="s">
        <v>65</v>
      </c>
      <c r="E120" s="2">
        <v>0.44444444444444442</v>
      </c>
      <c r="F120">
        <v>26.4</v>
      </c>
      <c r="G120">
        <v>37.700000000000003</v>
      </c>
      <c r="H120">
        <v>5.49</v>
      </c>
      <c r="I120">
        <v>21</v>
      </c>
      <c r="J120">
        <v>210</v>
      </c>
    </row>
    <row r="121" spans="1:11" x14ac:dyDescent="0.25">
      <c r="A121" s="1">
        <v>45250</v>
      </c>
      <c r="B121" t="s">
        <v>45</v>
      </c>
      <c r="C121" t="s">
        <v>193</v>
      </c>
      <c r="D121" t="s">
        <v>66</v>
      </c>
      <c r="E121" s="2">
        <v>0.4458333333333333</v>
      </c>
      <c r="F121">
        <v>25.7</v>
      </c>
      <c r="G121">
        <v>48.6</v>
      </c>
      <c r="H121">
        <v>4.7300000000000004</v>
      </c>
      <c r="I121">
        <v>21</v>
      </c>
      <c r="J121">
        <v>225</v>
      </c>
    </row>
    <row r="122" spans="1:11" x14ac:dyDescent="0.25">
      <c r="A122" s="1">
        <v>45250</v>
      </c>
      <c r="B122" t="s">
        <v>45</v>
      </c>
      <c r="C122" t="s">
        <v>193</v>
      </c>
      <c r="D122" t="s">
        <v>67</v>
      </c>
      <c r="E122" s="2">
        <v>0.4458333333333333</v>
      </c>
      <c r="F122">
        <v>25.3</v>
      </c>
      <c r="G122">
        <v>60.1</v>
      </c>
      <c r="H122">
        <v>4.7300000000000004</v>
      </c>
      <c r="I122">
        <v>20</v>
      </c>
      <c r="J122">
        <v>210</v>
      </c>
    </row>
    <row r="123" spans="1:11" x14ac:dyDescent="0.25">
      <c r="A123" s="1">
        <v>45252</v>
      </c>
      <c r="B123" t="s">
        <v>45</v>
      </c>
      <c r="C123" t="s">
        <v>193</v>
      </c>
      <c r="D123" t="s">
        <v>65</v>
      </c>
      <c r="E123" s="2">
        <v>0.42152777777777778</v>
      </c>
      <c r="F123">
        <v>24.5</v>
      </c>
      <c r="G123">
        <v>59.5</v>
      </c>
      <c r="H123">
        <v>5.61</v>
      </c>
      <c r="I123">
        <v>19</v>
      </c>
      <c r="J123">
        <v>210</v>
      </c>
    </row>
    <row r="124" spans="1:11" x14ac:dyDescent="0.25">
      <c r="A124" s="1">
        <v>45252</v>
      </c>
      <c r="B124" t="s">
        <v>45</v>
      </c>
      <c r="C124" t="s">
        <v>193</v>
      </c>
      <c r="D124" t="s">
        <v>66</v>
      </c>
      <c r="E124" s="2">
        <v>0.42083333333333334</v>
      </c>
      <c r="F124">
        <v>24.4</v>
      </c>
      <c r="G124">
        <v>62.3</v>
      </c>
      <c r="H124">
        <v>5.39</v>
      </c>
      <c r="I124">
        <v>20</v>
      </c>
      <c r="J124">
        <v>225</v>
      </c>
    </row>
    <row r="125" spans="1:11" x14ac:dyDescent="0.25">
      <c r="A125" s="1">
        <v>45252</v>
      </c>
      <c r="B125" t="s">
        <v>45</v>
      </c>
      <c r="C125" t="s">
        <v>193</v>
      </c>
      <c r="D125" t="s">
        <v>67</v>
      </c>
      <c r="E125" s="2">
        <v>0.41944444444444445</v>
      </c>
      <c r="F125">
        <v>24.4</v>
      </c>
      <c r="G125">
        <v>67</v>
      </c>
      <c r="H125">
        <v>5.31</v>
      </c>
      <c r="I125">
        <v>19</v>
      </c>
      <c r="J125">
        <v>210</v>
      </c>
    </row>
    <row r="126" spans="1:11" x14ac:dyDescent="0.25">
      <c r="A126" s="1">
        <v>45250</v>
      </c>
      <c r="B126" t="s">
        <v>45</v>
      </c>
      <c r="C126" t="s">
        <v>194</v>
      </c>
      <c r="D126" t="s">
        <v>231</v>
      </c>
      <c r="E126" s="2">
        <v>0.45694444444444443</v>
      </c>
      <c r="F126">
        <v>29.1</v>
      </c>
      <c r="G126">
        <v>99.9</v>
      </c>
      <c r="H126">
        <v>6.37</v>
      </c>
      <c r="I126">
        <v>20</v>
      </c>
      <c r="J126">
        <v>230</v>
      </c>
    </row>
    <row r="127" spans="1:11" x14ac:dyDescent="0.25">
      <c r="A127" s="1">
        <v>45250</v>
      </c>
      <c r="B127" t="s">
        <v>45</v>
      </c>
      <c r="C127" t="s">
        <v>194</v>
      </c>
      <c r="D127" t="s">
        <v>232</v>
      </c>
      <c r="E127" s="2">
        <v>0.45833333333333331</v>
      </c>
      <c r="F127">
        <v>27.8</v>
      </c>
      <c r="G127">
        <v>104</v>
      </c>
    </row>
    <row r="128" spans="1:11" x14ac:dyDescent="0.25">
      <c r="A128" s="1">
        <v>45250</v>
      </c>
      <c r="B128" t="s">
        <v>45</v>
      </c>
      <c r="C128" t="s">
        <v>194</v>
      </c>
      <c r="D128" t="s">
        <v>238</v>
      </c>
      <c r="E128" s="2">
        <v>0.4597222222222222</v>
      </c>
      <c r="F128">
        <v>26.5</v>
      </c>
      <c r="G128">
        <v>79.099999999999994</v>
      </c>
    </row>
    <row r="129" spans="1:11" x14ac:dyDescent="0.25">
      <c r="A129" s="1">
        <v>45252</v>
      </c>
      <c r="B129" t="s">
        <v>45</v>
      </c>
      <c r="C129" t="s">
        <v>194</v>
      </c>
      <c r="D129" t="s">
        <v>231</v>
      </c>
      <c r="E129" s="2">
        <v>0.42638888888888887</v>
      </c>
      <c r="F129">
        <v>24.7</v>
      </c>
      <c r="G129">
        <v>88.7</v>
      </c>
      <c r="H129">
        <v>5.56</v>
      </c>
      <c r="I129">
        <v>19</v>
      </c>
      <c r="J129">
        <v>230</v>
      </c>
    </row>
    <row r="130" spans="1:11" x14ac:dyDescent="0.25">
      <c r="A130" s="1">
        <v>45252</v>
      </c>
      <c r="B130" t="s">
        <v>45</v>
      </c>
      <c r="C130" t="s">
        <v>194</v>
      </c>
      <c r="D130" t="s">
        <v>232</v>
      </c>
      <c r="E130" s="2">
        <v>0.42777777777777781</v>
      </c>
      <c r="F130">
        <v>24.7</v>
      </c>
      <c r="G130">
        <v>89.7</v>
      </c>
    </row>
    <row r="131" spans="1:11" x14ac:dyDescent="0.25">
      <c r="A131" s="1">
        <v>45252</v>
      </c>
      <c r="B131" t="s">
        <v>45</v>
      </c>
      <c r="C131" t="s">
        <v>194</v>
      </c>
      <c r="D131" t="s">
        <v>238</v>
      </c>
      <c r="E131" s="2">
        <v>0.4284722222222222</v>
      </c>
      <c r="F131">
        <v>24.7</v>
      </c>
      <c r="G131">
        <v>88.1</v>
      </c>
    </row>
    <row r="132" spans="1:11" x14ac:dyDescent="0.25">
      <c r="A132" s="1">
        <v>45250</v>
      </c>
      <c r="B132" t="s">
        <v>45</v>
      </c>
      <c r="C132" t="s">
        <v>195</v>
      </c>
      <c r="D132" t="s">
        <v>233</v>
      </c>
      <c r="E132" s="2">
        <v>0.47222222222222227</v>
      </c>
      <c r="F132">
        <v>28.9</v>
      </c>
      <c r="G132">
        <v>93.6</v>
      </c>
      <c r="H132">
        <v>6.12</v>
      </c>
      <c r="I132">
        <v>19</v>
      </c>
      <c r="J132">
        <v>200</v>
      </c>
    </row>
    <row r="133" spans="1:11" x14ac:dyDescent="0.25">
      <c r="A133" s="1">
        <v>45250</v>
      </c>
      <c r="B133" t="s">
        <v>45</v>
      </c>
      <c r="C133" t="s">
        <v>195</v>
      </c>
      <c r="D133" t="s">
        <v>234</v>
      </c>
      <c r="E133" s="2">
        <v>0.47361111111111115</v>
      </c>
      <c r="F133">
        <v>28.2</v>
      </c>
      <c r="G133">
        <v>92.4</v>
      </c>
      <c r="H133">
        <v>5.64</v>
      </c>
      <c r="I133">
        <v>19</v>
      </c>
      <c r="J133">
        <v>200</v>
      </c>
    </row>
    <row r="134" spans="1:11" x14ac:dyDescent="0.25">
      <c r="A134" s="1">
        <v>45250</v>
      </c>
      <c r="B134" t="s">
        <v>45</v>
      </c>
      <c r="C134" t="s">
        <v>195</v>
      </c>
      <c r="D134" t="s">
        <v>235</v>
      </c>
      <c r="E134" s="2">
        <v>0.47500000000000003</v>
      </c>
      <c r="F134">
        <v>27.1</v>
      </c>
      <c r="G134">
        <v>95.7</v>
      </c>
      <c r="H134">
        <v>5.48</v>
      </c>
      <c r="I134">
        <v>19</v>
      </c>
      <c r="J134">
        <v>200</v>
      </c>
    </row>
    <row r="135" spans="1:11" x14ac:dyDescent="0.25">
      <c r="A135" s="1">
        <v>45252</v>
      </c>
      <c r="B135" t="s">
        <v>45</v>
      </c>
      <c r="C135" t="s">
        <v>195</v>
      </c>
      <c r="D135" t="s">
        <v>233</v>
      </c>
      <c r="E135" s="2">
        <v>0.44027777777777777</v>
      </c>
      <c r="F135">
        <v>24.7</v>
      </c>
      <c r="G135">
        <v>81.099999999999994</v>
      </c>
      <c r="H135">
        <v>6.55</v>
      </c>
      <c r="I135">
        <v>19</v>
      </c>
      <c r="J135">
        <v>200</v>
      </c>
    </row>
    <row r="136" spans="1:11" x14ac:dyDescent="0.25">
      <c r="A136" s="1">
        <v>45252</v>
      </c>
      <c r="B136" t="s">
        <v>45</v>
      </c>
      <c r="C136" t="s">
        <v>195</v>
      </c>
      <c r="D136" t="s">
        <v>234</v>
      </c>
      <c r="E136" s="2">
        <v>0.44166666666666665</v>
      </c>
      <c r="F136">
        <v>24.8</v>
      </c>
      <c r="G136">
        <v>83.6</v>
      </c>
      <c r="H136">
        <v>6.26</v>
      </c>
      <c r="I136">
        <v>19</v>
      </c>
      <c r="J136">
        <v>200</v>
      </c>
    </row>
    <row r="137" spans="1:11" x14ac:dyDescent="0.25">
      <c r="A137" s="1">
        <v>45252</v>
      </c>
      <c r="B137" t="s">
        <v>45</v>
      </c>
      <c r="C137" t="s">
        <v>195</v>
      </c>
      <c r="D137" t="s">
        <v>235</v>
      </c>
      <c r="E137" s="2">
        <v>0.44236111111111115</v>
      </c>
      <c r="F137">
        <v>24.7</v>
      </c>
      <c r="G137">
        <v>86.4</v>
      </c>
      <c r="H137">
        <v>6.04</v>
      </c>
      <c r="I137">
        <v>19</v>
      </c>
      <c r="J137">
        <v>200</v>
      </c>
    </row>
    <row r="138" spans="1:11" x14ac:dyDescent="0.25">
      <c r="A138" s="1">
        <v>45255</v>
      </c>
      <c r="B138" t="s">
        <v>45</v>
      </c>
      <c r="C138" t="s">
        <v>214</v>
      </c>
      <c r="D138" t="s">
        <v>158</v>
      </c>
      <c r="E138" s="2">
        <v>0.37777777777777777</v>
      </c>
      <c r="F138">
        <v>25.4</v>
      </c>
      <c r="G138">
        <v>96.1</v>
      </c>
      <c r="H138">
        <v>5.08</v>
      </c>
      <c r="I138">
        <v>19</v>
      </c>
      <c r="J138">
        <v>350</v>
      </c>
      <c r="K138">
        <f>AVERAGE(9.43,7.91)</f>
        <v>8.67</v>
      </c>
    </row>
    <row r="139" spans="1:11" x14ac:dyDescent="0.25">
      <c r="A139" s="1">
        <v>45255</v>
      </c>
      <c r="B139" t="s">
        <v>45</v>
      </c>
      <c r="C139" t="s">
        <v>214</v>
      </c>
      <c r="D139" t="s">
        <v>236</v>
      </c>
      <c r="E139" s="2">
        <v>0.37847222222222227</v>
      </c>
      <c r="F139">
        <v>25.5</v>
      </c>
      <c r="G139">
        <v>92.4</v>
      </c>
    </row>
    <row r="140" spans="1:11" x14ac:dyDescent="0.25">
      <c r="A140" s="1">
        <v>45257</v>
      </c>
      <c r="B140" t="s">
        <v>45</v>
      </c>
      <c r="C140" t="s">
        <v>214</v>
      </c>
      <c r="D140" t="s">
        <v>158</v>
      </c>
      <c r="E140" s="2">
        <v>0.36736111111111108</v>
      </c>
      <c r="F140">
        <v>24.5</v>
      </c>
      <c r="G140">
        <v>90.1</v>
      </c>
      <c r="H140">
        <v>5.42</v>
      </c>
      <c r="I140">
        <v>19</v>
      </c>
      <c r="J140">
        <v>350</v>
      </c>
      <c r="K140">
        <f>AVERAGE(7.12,8.36)</f>
        <v>7.74</v>
      </c>
    </row>
    <row r="141" spans="1:11" x14ac:dyDescent="0.25">
      <c r="A141" s="1">
        <v>45257</v>
      </c>
      <c r="B141" t="s">
        <v>45</v>
      </c>
      <c r="C141" t="s">
        <v>214</v>
      </c>
      <c r="D141" t="s">
        <v>236</v>
      </c>
      <c r="E141" s="2">
        <v>0.36805555555555558</v>
      </c>
      <c r="F141">
        <v>24.6</v>
      </c>
      <c r="G141">
        <v>89.3</v>
      </c>
    </row>
    <row r="142" spans="1:11" x14ac:dyDescent="0.25">
      <c r="A142" s="1">
        <v>45255</v>
      </c>
      <c r="B142" t="s">
        <v>45</v>
      </c>
      <c r="C142" t="s">
        <v>211</v>
      </c>
      <c r="D142" t="s">
        <v>156</v>
      </c>
      <c r="E142" s="2">
        <v>0.38958333333333334</v>
      </c>
      <c r="F142">
        <v>26</v>
      </c>
      <c r="G142">
        <v>96.9</v>
      </c>
      <c r="H142">
        <v>5.12</v>
      </c>
      <c r="I142">
        <v>18</v>
      </c>
      <c r="J142">
        <v>350</v>
      </c>
    </row>
    <row r="143" spans="1:11" x14ac:dyDescent="0.25">
      <c r="A143" s="1">
        <v>45255</v>
      </c>
      <c r="B143" t="s">
        <v>45</v>
      </c>
      <c r="C143" t="s">
        <v>211</v>
      </c>
      <c r="D143" t="s">
        <v>237</v>
      </c>
      <c r="E143" s="2">
        <v>0.39097222222222222</v>
      </c>
      <c r="F143">
        <v>26</v>
      </c>
      <c r="G143">
        <v>93.7</v>
      </c>
    </row>
    <row r="144" spans="1:11" x14ac:dyDescent="0.25">
      <c r="A144" s="1">
        <v>45257</v>
      </c>
      <c r="B144" t="s">
        <v>45</v>
      </c>
      <c r="C144" t="s">
        <v>211</v>
      </c>
      <c r="D144" t="s">
        <v>156</v>
      </c>
      <c r="E144" s="2">
        <v>0.38125000000000003</v>
      </c>
      <c r="F144">
        <v>25.3</v>
      </c>
      <c r="G144">
        <v>85.4</v>
      </c>
      <c r="H144">
        <v>5.5</v>
      </c>
      <c r="I144">
        <v>19</v>
      </c>
      <c r="J144">
        <v>350</v>
      </c>
    </row>
    <row r="145" spans="1:12" x14ac:dyDescent="0.25">
      <c r="A145" s="1">
        <v>45257</v>
      </c>
      <c r="B145" t="s">
        <v>45</v>
      </c>
      <c r="C145" t="s">
        <v>211</v>
      </c>
      <c r="D145" t="s">
        <v>237</v>
      </c>
      <c r="E145" s="2">
        <v>0.38194444444444442</v>
      </c>
      <c r="F145">
        <v>25.2</v>
      </c>
      <c r="G145">
        <v>83.3</v>
      </c>
    </row>
    <row r="146" spans="1:12" x14ac:dyDescent="0.25">
      <c r="A146" s="1">
        <v>45255</v>
      </c>
      <c r="B146" t="s">
        <v>45</v>
      </c>
      <c r="C146" t="s">
        <v>215</v>
      </c>
      <c r="D146" t="s">
        <v>65</v>
      </c>
      <c r="E146" s="2">
        <v>0.40277777777777773</v>
      </c>
      <c r="F146">
        <v>25.3</v>
      </c>
      <c r="G146">
        <v>89.6</v>
      </c>
      <c r="H146">
        <v>6.22</v>
      </c>
      <c r="I146">
        <v>19</v>
      </c>
      <c r="J146">
        <v>230</v>
      </c>
      <c r="K146">
        <v>8.99</v>
      </c>
    </row>
    <row r="147" spans="1:12" x14ac:dyDescent="0.25">
      <c r="A147" s="1">
        <v>45255</v>
      </c>
      <c r="B147" t="s">
        <v>45</v>
      </c>
      <c r="C147" t="s">
        <v>215</v>
      </c>
      <c r="D147" t="s">
        <v>67</v>
      </c>
      <c r="E147" s="2">
        <v>0.40347222222222223</v>
      </c>
      <c r="F147">
        <v>25.2</v>
      </c>
      <c r="G147">
        <v>82.2</v>
      </c>
    </row>
    <row r="148" spans="1:12" x14ac:dyDescent="0.25">
      <c r="A148" s="1">
        <v>45257</v>
      </c>
      <c r="B148" t="s">
        <v>45</v>
      </c>
      <c r="C148" t="s">
        <v>215</v>
      </c>
      <c r="D148" t="s">
        <v>65</v>
      </c>
      <c r="E148" s="2">
        <v>0.39097222222222222</v>
      </c>
      <c r="F148">
        <v>25.2</v>
      </c>
      <c r="G148">
        <v>89</v>
      </c>
      <c r="H148">
        <v>5.66</v>
      </c>
      <c r="I148">
        <v>19</v>
      </c>
      <c r="J148">
        <v>230</v>
      </c>
      <c r="K148">
        <f>AVERAGE(9.94,9.11)</f>
        <v>9.5249999999999986</v>
      </c>
    </row>
    <row r="149" spans="1:12" x14ac:dyDescent="0.25">
      <c r="A149" s="1">
        <v>45257</v>
      </c>
      <c r="B149" t="s">
        <v>45</v>
      </c>
      <c r="C149" t="s">
        <v>215</v>
      </c>
      <c r="D149" t="s">
        <v>67</v>
      </c>
      <c r="E149" s="2">
        <v>0.39166666666666666</v>
      </c>
      <c r="F149">
        <v>25.1</v>
      </c>
      <c r="G149">
        <v>85.3</v>
      </c>
    </row>
    <row r="150" spans="1:12" x14ac:dyDescent="0.25">
      <c r="A150" s="1">
        <v>45255</v>
      </c>
      <c r="B150" t="s">
        <v>45</v>
      </c>
      <c r="C150" t="s">
        <v>216</v>
      </c>
      <c r="D150" t="s">
        <v>231</v>
      </c>
      <c r="E150" s="2">
        <v>0.4861111111111111</v>
      </c>
      <c r="F150">
        <v>25.6</v>
      </c>
      <c r="G150">
        <v>93</v>
      </c>
      <c r="H150">
        <v>5.68</v>
      </c>
      <c r="I150">
        <v>19</v>
      </c>
      <c r="J150">
        <v>67</v>
      </c>
    </row>
    <row r="151" spans="1:12" x14ac:dyDescent="0.25">
      <c r="A151" s="1">
        <v>45255</v>
      </c>
      <c r="B151" t="s">
        <v>45</v>
      </c>
      <c r="C151" t="s">
        <v>216</v>
      </c>
      <c r="D151" t="s">
        <v>232</v>
      </c>
      <c r="E151" s="2">
        <v>0.48680555555555555</v>
      </c>
      <c r="F151">
        <v>25.6</v>
      </c>
      <c r="G151">
        <v>93</v>
      </c>
      <c r="H151">
        <v>5.0999999999999996</v>
      </c>
      <c r="I151">
        <v>19</v>
      </c>
      <c r="J151">
        <v>77</v>
      </c>
    </row>
    <row r="152" spans="1:12" x14ac:dyDescent="0.25">
      <c r="A152" s="1">
        <v>45255</v>
      </c>
      <c r="B152" t="s">
        <v>45</v>
      </c>
      <c r="C152" t="s">
        <v>216</v>
      </c>
      <c r="D152" t="s">
        <v>238</v>
      </c>
      <c r="E152" s="2">
        <v>0.48819444444444443</v>
      </c>
      <c r="F152">
        <v>25.6</v>
      </c>
      <c r="G152">
        <v>93</v>
      </c>
      <c r="H152">
        <v>5.13</v>
      </c>
      <c r="I152">
        <v>19</v>
      </c>
      <c r="J152">
        <v>84</v>
      </c>
    </row>
    <row r="153" spans="1:12" x14ac:dyDescent="0.25">
      <c r="A153" s="1">
        <v>45257</v>
      </c>
      <c r="B153" t="s">
        <v>45</v>
      </c>
      <c r="C153" t="s">
        <v>216</v>
      </c>
      <c r="D153" t="s">
        <v>231</v>
      </c>
      <c r="E153" s="2">
        <v>0.42430555555555555</v>
      </c>
      <c r="F153">
        <v>25</v>
      </c>
      <c r="G153">
        <v>80.599999999999994</v>
      </c>
      <c r="H153">
        <v>5.36</v>
      </c>
      <c r="I153">
        <v>20</v>
      </c>
      <c r="J153">
        <v>72.5</v>
      </c>
    </row>
    <row r="154" spans="1:12" x14ac:dyDescent="0.25">
      <c r="A154" s="1">
        <v>45257</v>
      </c>
      <c r="B154" t="s">
        <v>45</v>
      </c>
      <c r="C154" t="s">
        <v>216</v>
      </c>
      <c r="D154" t="s">
        <v>232</v>
      </c>
      <c r="E154" s="2">
        <v>0.42499999999999999</v>
      </c>
      <c r="F154">
        <v>25.1</v>
      </c>
      <c r="G154">
        <v>84.6</v>
      </c>
      <c r="H154">
        <v>5.53</v>
      </c>
      <c r="I154">
        <v>19</v>
      </c>
      <c r="J154">
        <v>73</v>
      </c>
    </row>
    <row r="155" spans="1:12" x14ac:dyDescent="0.25">
      <c r="A155" s="1">
        <v>45257</v>
      </c>
      <c r="B155" t="s">
        <v>45</v>
      </c>
      <c r="C155" t="s">
        <v>216</v>
      </c>
      <c r="D155" t="s">
        <v>238</v>
      </c>
      <c r="E155" s="2">
        <v>0.42638888888888887</v>
      </c>
      <c r="F155">
        <v>25.2</v>
      </c>
      <c r="G155">
        <v>82.4</v>
      </c>
      <c r="H155">
        <v>5.76</v>
      </c>
      <c r="I155">
        <v>19</v>
      </c>
      <c r="J155">
        <v>85</v>
      </c>
    </row>
    <row r="156" spans="1:12" x14ac:dyDescent="0.25">
      <c r="A156" s="1">
        <v>45215</v>
      </c>
      <c r="B156" t="s">
        <v>45</v>
      </c>
      <c r="C156" t="s">
        <v>63</v>
      </c>
      <c r="D156" t="s">
        <v>158</v>
      </c>
      <c r="E156" s="2">
        <v>0.39097222222222222</v>
      </c>
      <c r="F156">
        <v>26.6</v>
      </c>
      <c r="G156">
        <v>8.8000000000000007</v>
      </c>
      <c r="H156">
        <v>5.3</v>
      </c>
      <c r="I156">
        <v>29</v>
      </c>
      <c r="J156">
        <v>200</v>
      </c>
      <c r="K156">
        <v>6.29</v>
      </c>
      <c r="L156" t="s">
        <v>64</v>
      </c>
    </row>
    <row r="157" spans="1:12" x14ac:dyDescent="0.25">
      <c r="A157" s="1">
        <v>45215</v>
      </c>
      <c r="B157" t="s">
        <v>45</v>
      </c>
      <c r="C157" t="s">
        <v>63</v>
      </c>
      <c r="D157" t="s">
        <v>159</v>
      </c>
      <c r="E157" s="2">
        <v>0.39513888888888887</v>
      </c>
      <c r="F157">
        <v>26.4</v>
      </c>
      <c r="G157">
        <v>42.6</v>
      </c>
      <c r="H157">
        <v>5.0999999999999996</v>
      </c>
      <c r="I157">
        <v>23</v>
      </c>
      <c r="J157">
        <v>175</v>
      </c>
    </row>
    <row r="158" spans="1:12" x14ac:dyDescent="0.25">
      <c r="A158" s="1">
        <v>45215</v>
      </c>
      <c r="B158" t="s">
        <v>45</v>
      </c>
      <c r="C158" t="s">
        <v>63</v>
      </c>
      <c r="D158" t="s">
        <v>236</v>
      </c>
      <c r="E158" s="2">
        <v>0.39652777777777781</v>
      </c>
      <c r="F158">
        <v>26.8</v>
      </c>
      <c r="G158">
        <v>37.299999999999997</v>
      </c>
      <c r="H158">
        <v>5.05</v>
      </c>
      <c r="I158">
        <v>23</v>
      </c>
      <c r="J158">
        <v>182</v>
      </c>
      <c r="K158">
        <v>7.23</v>
      </c>
    </row>
    <row r="159" spans="1:12" x14ac:dyDescent="0.25">
      <c r="A159" s="1">
        <v>45217</v>
      </c>
      <c r="B159" t="s">
        <v>45</v>
      </c>
      <c r="C159" t="s">
        <v>63</v>
      </c>
      <c r="D159" t="s">
        <v>158</v>
      </c>
      <c r="E159" s="2">
        <v>0.36874999999999997</v>
      </c>
      <c r="F159">
        <v>25.5</v>
      </c>
      <c r="G159">
        <v>21.6</v>
      </c>
      <c r="H159">
        <v>5.86</v>
      </c>
      <c r="I159">
        <v>26</v>
      </c>
      <c r="J159">
        <v>59</v>
      </c>
      <c r="K159">
        <f>AVERAGE(9.16,10.1)</f>
        <v>9.629999999999999</v>
      </c>
      <c r="L159" t="s">
        <v>71</v>
      </c>
    </row>
    <row r="160" spans="1:12" x14ac:dyDescent="0.25">
      <c r="A160" s="1">
        <v>45217</v>
      </c>
      <c r="B160" t="s">
        <v>45</v>
      </c>
      <c r="C160" t="s">
        <v>63</v>
      </c>
      <c r="D160" t="s">
        <v>159</v>
      </c>
      <c r="E160" s="2">
        <v>0.36874999999999997</v>
      </c>
      <c r="F160">
        <v>25.7</v>
      </c>
      <c r="G160">
        <v>93.9</v>
      </c>
      <c r="H160">
        <v>5.13</v>
      </c>
      <c r="I160">
        <v>25</v>
      </c>
      <c r="J160">
        <v>200</v>
      </c>
    </row>
    <row r="161" spans="1:11" x14ac:dyDescent="0.25">
      <c r="A161" s="1">
        <v>45217</v>
      </c>
      <c r="B161" t="s">
        <v>45</v>
      </c>
      <c r="C161" t="s">
        <v>63</v>
      </c>
      <c r="D161" t="s">
        <v>236</v>
      </c>
      <c r="E161" s="2">
        <v>0.36874999999999997</v>
      </c>
      <c r="F161">
        <v>25.8</v>
      </c>
      <c r="G161">
        <v>56.7</v>
      </c>
      <c r="H161">
        <v>5.21</v>
      </c>
      <c r="I161">
        <v>24</v>
      </c>
      <c r="J161">
        <v>182</v>
      </c>
      <c r="K161">
        <f>AVERAGE(9.06,11.4)</f>
        <v>10.23</v>
      </c>
    </row>
    <row r="162" spans="1:11" x14ac:dyDescent="0.25">
      <c r="A162" s="1">
        <v>45222</v>
      </c>
      <c r="B162" t="s">
        <v>45</v>
      </c>
      <c r="C162" t="s">
        <v>73</v>
      </c>
      <c r="D162" t="s">
        <v>158</v>
      </c>
      <c r="E162" s="2">
        <v>0.3888888888888889</v>
      </c>
      <c r="F162">
        <v>25.2</v>
      </c>
      <c r="G162">
        <v>63.8</v>
      </c>
      <c r="H162">
        <v>6.06</v>
      </c>
      <c r="I162">
        <v>21</v>
      </c>
      <c r="J162">
        <v>68</v>
      </c>
      <c r="K162">
        <f>AVERAGE(11.7, 10.7)</f>
        <v>11.2</v>
      </c>
    </row>
    <row r="163" spans="1:11" x14ac:dyDescent="0.25">
      <c r="A163" s="1">
        <v>45222</v>
      </c>
      <c r="B163" t="s">
        <v>45</v>
      </c>
      <c r="C163" t="s">
        <v>73</v>
      </c>
      <c r="D163" t="s">
        <v>159</v>
      </c>
      <c r="E163" s="2">
        <v>0.3888888888888889</v>
      </c>
      <c r="F163">
        <v>25.7</v>
      </c>
      <c r="G163">
        <v>72</v>
      </c>
      <c r="H163">
        <v>6.12</v>
      </c>
      <c r="I163">
        <v>22</v>
      </c>
      <c r="J163">
        <v>83</v>
      </c>
    </row>
    <row r="164" spans="1:11" x14ac:dyDescent="0.25">
      <c r="A164" s="1">
        <v>45222</v>
      </c>
      <c r="B164" t="s">
        <v>45</v>
      </c>
      <c r="C164" t="s">
        <v>73</v>
      </c>
      <c r="D164" t="s">
        <v>236</v>
      </c>
      <c r="E164" s="2">
        <v>0.3888888888888889</v>
      </c>
      <c r="F164">
        <v>25.7</v>
      </c>
      <c r="G164">
        <v>76.599999999999994</v>
      </c>
      <c r="H164">
        <v>6.05</v>
      </c>
      <c r="I164">
        <v>23</v>
      </c>
      <c r="J164">
        <v>89</v>
      </c>
      <c r="K164">
        <f>AVERAGE(8.53,8.99)</f>
        <v>8.76</v>
      </c>
    </row>
    <row r="165" spans="1:11" x14ac:dyDescent="0.25">
      <c r="A165" s="1">
        <v>45224</v>
      </c>
      <c r="B165" t="s">
        <v>45</v>
      </c>
      <c r="C165" t="s">
        <v>73</v>
      </c>
      <c r="D165" t="s">
        <v>158</v>
      </c>
      <c r="E165" s="2">
        <v>0.36388888888888887</v>
      </c>
      <c r="F165">
        <v>25</v>
      </c>
      <c r="G165">
        <v>52.3</v>
      </c>
      <c r="H165">
        <v>5.23</v>
      </c>
      <c r="I165">
        <v>21</v>
      </c>
      <c r="J165">
        <v>69</v>
      </c>
      <c r="K165">
        <f>AVERAGE(11.1,11.2)</f>
        <v>11.149999999999999</v>
      </c>
    </row>
    <row r="166" spans="1:11" x14ac:dyDescent="0.25">
      <c r="A166" s="1">
        <v>45224</v>
      </c>
      <c r="B166" t="s">
        <v>45</v>
      </c>
      <c r="C166" t="s">
        <v>73</v>
      </c>
      <c r="D166" t="s">
        <v>159</v>
      </c>
      <c r="E166" s="2">
        <v>0.36388888888888887</v>
      </c>
      <c r="F166">
        <v>25.1</v>
      </c>
      <c r="G166">
        <v>49.8</v>
      </c>
      <c r="H166">
        <v>5.19</v>
      </c>
      <c r="I166">
        <v>20</v>
      </c>
      <c r="J166">
        <v>78</v>
      </c>
    </row>
    <row r="167" spans="1:11" x14ac:dyDescent="0.25">
      <c r="A167" s="1">
        <v>45224</v>
      </c>
      <c r="B167" t="s">
        <v>45</v>
      </c>
      <c r="C167" t="s">
        <v>73</v>
      </c>
      <c r="D167" t="s">
        <v>236</v>
      </c>
      <c r="E167" s="2">
        <v>0.36458333333333331</v>
      </c>
      <c r="F167">
        <v>25.3</v>
      </c>
      <c r="G167">
        <v>47.2</v>
      </c>
      <c r="H167">
        <v>5.25</v>
      </c>
      <c r="I167">
        <v>21</v>
      </c>
      <c r="J167">
        <v>89</v>
      </c>
      <c r="K167">
        <f>AVERAGE(9.96,10.7)</f>
        <v>10.33</v>
      </c>
    </row>
    <row r="168" spans="1:11" x14ac:dyDescent="0.25">
      <c r="A168" s="1">
        <v>45229</v>
      </c>
      <c r="B168" t="s">
        <v>45</v>
      </c>
      <c r="C168" t="s">
        <v>75</v>
      </c>
      <c r="D168" t="s">
        <v>158</v>
      </c>
      <c r="E168" s="2">
        <v>0.41666666666666669</v>
      </c>
      <c r="F168">
        <v>27.1</v>
      </c>
      <c r="G168">
        <v>59.6</v>
      </c>
      <c r="H168">
        <v>5.76</v>
      </c>
      <c r="I168">
        <v>24</v>
      </c>
      <c r="J168">
        <v>95</v>
      </c>
      <c r="K168">
        <f>AVERAGE(9.84,8.66)</f>
        <v>9.25</v>
      </c>
    </row>
    <row r="169" spans="1:11" x14ac:dyDescent="0.25">
      <c r="A169" s="1">
        <v>45229</v>
      </c>
      <c r="B169" t="s">
        <v>45</v>
      </c>
      <c r="C169" t="s">
        <v>75</v>
      </c>
      <c r="D169" t="s">
        <v>159</v>
      </c>
      <c r="E169" s="2">
        <v>0.41875000000000001</v>
      </c>
      <c r="F169">
        <v>26.5</v>
      </c>
      <c r="G169">
        <v>63.8</v>
      </c>
      <c r="H169">
        <v>5.43</v>
      </c>
      <c r="I169">
        <v>25</v>
      </c>
      <c r="J169">
        <v>93</v>
      </c>
    </row>
    <row r="170" spans="1:11" x14ac:dyDescent="0.25">
      <c r="A170" s="1">
        <v>45229</v>
      </c>
      <c r="B170" t="s">
        <v>45</v>
      </c>
      <c r="C170" t="s">
        <v>75</v>
      </c>
      <c r="D170" t="s">
        <v>236</v>
      </c>
      <c r="E170" s="2">
        <v>0.4201388888888889</v>
      </c>
      <c r="F170">
        <v>26.3</v>
      </c>
      <c r="G170">
        <v>62.4</v>
      </c>
      <c r="H170">
        <v>5.0999999999999996</v>
      </c>
      <c r="I170">
        <v>23</v>
      </c>
      <c r="J170">
        <v>109</v>
      </c>
      <c r="K170">
        <f>AVERAGE(9.75,12.5)</f>
        <v>11.125</v>
      </c>
    </row>
    <row r="171" spans="1:11" x14ac:dyDescent="0.25">
      <c r="A171" s="1">
        <v>45231</v>
      </c>
      <c r="B171" t="s">
        <v>45</v>
      </c>
      <c r="C171" t="s">
        <v>75</v>
      </c>
      <c r="D171" t="s">
        <v>158</v>
      </c>
      <c r="E171" s="2">
        <v>0.375</v>
      </c>
      <c r="F171">
        <v>25.1</v>
      </c>
      <c r="G171">
        <v>41.4</v>
      </c>
      <c r="H171">
        <v>4.8499999999999996</v>
      </c>
      <c r="I171">
        <v>23</v>
      </c>
      <c r="J171">
        <v>82</v>
      </c>
      <c r="K171">
        <f>AVERAGE(9.2,8.34)</f>
        <v>8.77</v>
      </c>
    </row>
    <row r="172" spans="1:11" x14ac:dyDescent="0.25">
      <c r="A172" s="1">
        <v>45231</v>
      </c>
      <c r="B172" t="s">
        <v>45</v>
      </c>
      <c r="C172" t="s">
        <v>75</v>
      </c>
      <c r="D172" t="s">
        <v>159</v>
      </c>
      <c r="E172" s="2">
        <v>0.37638888888888888</v>
      </c>
      <c r="F172">
        <v>25.8</v>
      </c>
      <c r="G172">
        <v>41.4</v>
      </c>
      <c r="H172">
        <v>5.62</v>
      </c>
      <c r="I172">
        <v>23</v>
      </c>
      <c r="J172">
        <v>101</v>
      </c>
    </row>
    <row r="173" spans="1:11" x14ac:dyDescent="0.25">
      <c r="A173" s="1">
        <v>45231</v>
      </c>
      <c r="B173" t="s">
        <v>45</v>
      </c>
      <c r="C173" t="s">
        <v>75</v>
      </c>
      <c r="D173" t="s">
        <v>236</v>
      </c>
      <c r="E173" s="2">
        <v>0.37708333333333338</v>
      </c>
      <c r="F173">
        <v>26.1</v>
      </c>
      <c r="G173">
        <v>48.8</v>
      </c>
      <c r="H173">
        <v>5.76</v>
      </c>
      <c r="I173">
        <v>23</v>
      </c>
      <c r="J173">
        <v>111</v>
      </c>
      <c r="K173">
        <f>AVERAGE(8.8, 7.81)</f>
        <v>8.3049999999999997</v>
      </c>
    </row>
    <row r="174" spans="1:11" x14ac:dyDescent="0.25">
      <c r="A174" s="1">
        <v>45236</v>
      </c>
      <c r="B174" t="s">
        <v>45</v>
      </c>
      <c r="C174" t="s">
        <v>151</v>
      </c>
      <c r="D174" t="s">
        <v>156</v>
      </c>
      <c r="E174" s="2">
        <v>918</v>
      </c>
      <c r="F174">
        <v>25</v>
      </c>
      <c r="G174">
        <v>68.3</v>
      </c>
      <c r="H174">
        <v>5.56</v>
      </c>
      <c r="I174">
        <v>22</v>
      </c>
      <c r="J174">
        <v>94</v>
      </c>
      <c r="K174">
        <f>AVERAGE(7.99,10.7)</f>
        <v>9.3449999999999989</v>
      </c>
    </row>
    <row r="175" spans="1:11" x14ac:dyDescent="0.25">
      <c r="A175" s="1">
        <v>45236</v>
      </c>
      <c r="B175" t="s">
        <v>45</v>
      </c>
      <c r="C175" t="s">
        <v>151</v>
      </c>
      <c r="D175" t="s">
        <v>157</v>
      </c>
      <c r="E175" s="2">
        <v>0.38819444444444445</v>
      </c>
      <c r="F175">
        <v>25.1</v>
      </c>
      <c r="G175">
        <v>67.5</v>
      </c>
      <c r="H175">
        <v>5.45</v>
      </c>
      <c r="I175">
        <v>22</v>
      </c>
      <c r="J175">
        <v>113</v>
      </c>
    </row>
    <row r="176" spans="1:11" x14ac:dyDescent="0.25">
      <c r="A176" s="1">
        <v>45236</v>
      </c>
      <c r="B176" t="s">
        <v>45</v>
      </c>
      <c r="C176" t="s">
        <v>151</v>
      </c>
      <c r="D176" t="s">
        <v>237</v>
      </c>
      <c r="E176" s="2">
        <v>0.3888888888888889</v>
      </c>
      <c r="F176">
        <v>25.2</v>
      </c>
      <c r="G176">
        <v>76.3</v>
      </c>
      <c r="H176">
        <v>5.62</v>
      </c>
      <c r="I176">
        <v>22</v>
      </c>
      <c r="J176">
        <v>119</v>
      </c>
      <c r="K176">
        <f>AVERAGE(7.78,10.3)</f>
        <v>9.0400000000000009</v>
      </c>
    </row>
    <row r="177" spans="1:11" x14ac:dyDescent="0.25">
      <c r="A177" s="1">
        <v>45238</v>
      </c>
      <c r="B177" t="s">
        <v>45</v>
      </c>
      <c r="C177" t="s">
        <v>151</v>
      </c>
      <c r="D177" t="s">
        <v>156</v>
      </c>
      <c r="E177" s="2">
        <v>0.34930555555555554</v>
      </c>
      <c r="F177">
        <v>22.8</v>
      </c>
      <c r="G177">
        <v>65.599999999999994</v>
      </c>
      <c r="H177">
        <v>5.6</v>
      </c>
      <c r="I177">
        <v>22</v>
      </c>
      <c r="J177">
        <v>97</v>
      </c>
      <c r="K177">
        <f>AVERAGE(7.93,8.66)</f>
        <v>8.2949999999999999</v>
      </c>
    </row>
    <row r="178" spans="1:11" x14ac:dyDescent="0.25">
      <c r="A178" s="1">
        <v>45238</v>
      </c>
      <c r="B178" t="s">
        <v>45</v>
      </c>
      <c r="C178" t="s">
        <v>151</v>
      </c>
      <c r="D178" t="s">
        <v>157</v>
      </c>
      <c r="E178" s="2">
        <v>0.35000000000000003</v>
      </c>
      <c r="F178">
        <v>23.6</v>
      </c>
      <c r="G178">
        <v>68.2</v>
      </c>
      <c r="H178">
        <v>5.42</v>
      </c>
      <c r="I178">
        <v>22</v>
      </c>
      <c r="J178">
        <v>63</v>
      </c>
    </row>
    <row r="179" spans="1:11" x14ac:dyDescent="0.25">
      <c r="A179" s="1">
        <v>45238</v>
      </c>
      <c r="B179" t="s">
        <v>45</v>
      </c>
      <c r="C179" t="s">
        <v>151</v>
      </c>
      <c r="D179" t="s">
        <v>237</v>
      </c>
      <c r="E179" s="2">
        <v>0.35069444444444442</v>
      </c>
      <c r="F179">
        <v>23.9</v>
      </c>
      <c r="G179">
        <v>68.8</v>
      </c>
      <c r="H179">
        <v>5.47</v>
      </c>
      <c r="I179">
        <v>21</v>
      </c>
      <c r="J179">
        <v>124</v>
      </c>
      <c r="K179">
        <f>AVERAGE(9.57,10.2)</f>
        <v>9.8849999999999998</v>
      </c>
    </row>
    <row r="180" spans="1:11" x14ac:dyDescent="0.25">
      <c r="A180" s="1">
        <v>45236</v>
      </c>
      <c r="B180" t="s">
        <v>45</v>
      </c>
      <c r="C180" t="s">
        <v>150</v>
      </c>
      <c r="D180" t="s">
        <v>158</v>
      </c>
      <c r="E180" s="2">
        <v>0.40208333333333335</v>
      </c>
      <c r="F180">
        <v>24.9</v>
      </c>
      <c r="G180">
        <v>69.599999999999994</v>
      </c>
      <c r="H180">
        <v>5.37</v>
      </c>
      <c r="I180">
        <v>22</v>
      </c>
      <c r="J180">
        <v>63</v>
      </c>
    </row>
    <row r="181" spans="1:11" x14ac:dyDescent="0.25">
      <c r="A181" s="1">
        <v>45236</v>
      </c>
      <c r="B181" t="s">
        <v>45</v>
      </c>
      <c r="C181" t="s">
        <v>150</v>
      </c>
      <c r="D181" t="s">
        <v>159</v>
      </c>
      <c r="E181" s="2">
        <v>0.40347222222222223</v>
      </c>
      <c r="F181">
        <v>25.1</v>
      </c>
      <c r="G181">
        <v>69.3</v>
      </c>
      <c r="H181">
        <v>5.59</v>
      </c>
      <c r="I181">
        <v>22</v>
      </c>
      <c r="J181">
        <v>110</v>
      </c>
    </row>
    <row r="182" spans="1:11" x14ac:dyDescent="0.25">
      <c r="A182" s="1">
        <v>45236</v>
      </c>
      <c r="B182" t="s">
        <v>45</v>
      </c>
      <c r="C182" t="s">
        <v>150</v>
      </c>
      <c r="D182" t="s">
        <v>236</v>
      </c>
      <c r="E182" s="2">
        <v>0.40416666666666662</v>
      </c>
      <c r="F182">
        <v>25.2</v>
      </c>
      <c r="G182">
        <v>68.7</v>
      </c>
      <c r="H182">
        <v>5.6</v>
      </c>
      <c r="I182">
        <v>22</v>
      </c>
      <c r="J182">
        <v>123</v>
      </c>
    </row>
    <row r="183" spans="1:11" x14ac:dyDescent="0.25">
      <c r="A183" s="1">
        <v>45238</v>
      </c>
      <c r="B183" t="s">
        <v>45</v>
      </c>
      <c r="C183" t="s">
        <v>150</v>
      </c>
      <c r="D183" t="s">
        <v>158</v>
      </c>
      <c r="E183" s="2">
        <v>0.35486111111111113</v>
      </c>
      <c r="F183">
        <v>23.9</v>
      </c>
      <c r="G183">
        <v>71.900000000000006</v>
      </c>
      <c r="H183">
        <v>5.96</v>
      </c>
      <c r="I183">
        <v>22</v>
      </c>
      <c r="J183">
        <v>63</v>
      </c>
    </row>
    <row r="184" spans="1:11" x14ac:dyDescent="0.25">
      <c r="A184" s="1">
        <v>45238</v>
      </c>
      <c r="B184" t="s">
        <v>45</v>
      </c>
      <c r="C184" t="s">
        <v>150</v>
      </c>
      <c r="D184" t="s">
        <v>159</v>
      </c>
      <c r="E184" s="2">
        <v>0.35555555555555557</v>
      </c>
      <c r="F184">
        <v>24.1</v>
      </c>
      <c r="G184">
        <v>69</v>
      </c>
      <c r="H184">
        <v>6.09</v>
      </c>
      <c r="I184">
        <v>21</v>
      </c>
      <c r="J184">
        <v>110</v>
      </c>
    </row>
    <row r="185" spans="1:11" x14ac:dyDescent="0.25">
      <c r="A185" s="1">
        <v>45238</v>
      </c>
      <c r="B185" t="s">
        <v>45</v>
      </c>
      <c r="C185" t="s">
        <v>150</v>
      </c>
      <c r="D185" t="s">
        <v>236</v>
      </c>
      <c r="E185" s="2">
        <v>0.35694444444444445</v>
      </c>
      <c r="F185">
        <v>24.2</v>
      </c>
      <c r="G185">
        <v>68.400000000000006</v>
      </c>
      <c r="H185">
        <v>6.04</v>
      </c>
      <c r="I185">
        <v>21</v>
      </c>
      <c r="J185">
        <v>119</v>
      </c>
    </row>
    <row r="186" spans="1:11" x14ac:dyDescent="0.25">
      <c r="A186" s="1">
        <v>45243</v>
      </c>
      <c r="B186" t="s">
        <v>45</v>
      </c>
      <c r="C186" t="s">
        <v>176</v>
      </c>
      <c r="D186" t="s">
        <v>158</v>
      </c>
      <c r="E186" s="2">
        <v>0.4284722222222222</v>
      </c>
      <c r="F186">
        <v>24</v>
      </c>
      <c r="G186">
        <v>64.5</v>
      </c>
      <c r="H186">
        <v>5.01</v>
      </c>
      <c r="I186">
        <v>21</v>
      </c>
      <c r="J186">
        <v>64</v>
      </c>
      <c r="K186">
        <f>AVERAGE(8.19,9.87)</f>
        <v>9.0299999999999994</v>
      </c>
    </row>
    <row r="187" spans="1:11" x14ac:dyDescent="0.25">
      <c r="A187" s="1">
        <v>45243</v>
      </c>
      <c r="B187" t="s">
        <v>45</v>
      </c>
      <c r="C187" t="s">
        <v>176</v>
      </c>
      <c r="D187" t="s">
        <v>236</v>
      </c>
      <c r="E187" s="2">
        <v>0.43055555555555558</v>
      </c>
      <c r="F187">
        <v>24.4</v>
      </c>
      <c r="G187">
        <v>64.900000000000006</v>
      </c>
      <c r="H187">
        <v>5.34</v>
      </c>
      <c r="I187">
        <v>21</v>
      </c>
      <c r="J187">
        <v>105</v>
      </c>
      <c r="K187">
        <f>AVERAGE(8.53,10.7)</f>
        <v>9.6149999999999984</v>
      </c>
    </row>
    <row r="188" spans="1:11" x14ac:dyDescent="0.25">
      <c r="A188" s="1">
        <v>45243</v>
      </c>
      <c r="B188" t="s">
        <v>45</v>
      </c>
      <c r="C188" t="s">
        <v>176</v>
      </c>
      <c r="D188" t="s">
        <v>159</v>
      </c>
      <c r="E188" s="2">
        <v>0.43124999999999997</v>
      </c>
      <c r="F188">
        <v>24.6</v>
      </c>
      <c r="G188">
        <v>66.900000000000006</v>
      </c>
      <c r="H188">
        <v>5.82</v>
      </c>
      <c r="I188">
        <v>21</v>
      </c>
      <c r="J188">
        <v>78</v>
      </c>
    </row>
    <row r="189" spans="1:11" x14ac:dyDescent="0.25">
      <c r="A189" s="1">
        <v>45245</v>
      </c>
      <c r="B189" t="s">
        <v>45</v>
      </c>
      <c r="C189" t="s">
        <v>176</v>
      </c>
      <c r="D189" t="s">
        <v>158</v>
      </c>
      <c r="E189" s="2">
        <v>0.37638888888888888</v>
      </c>
      <c r="F189">
        <v>25.5</v>
      </c>
      <c r="G189">
        <v>37</v>
      </c>
      <c r="H189">
        <v>5.73</v>
      </c>
      <c r="I189">
        <v>22</v>
      </c>
      <c r="J189">
        <v>59</v>
      </c>
      <c r="K189">
        <f>AVERAGE(8.64,10.5)</f>
        <v>9.57</v>
      </c>
    </row>
    <row r="190" spans="1:11" x14ac:dyDescent="0.25">
      <c r="A190" s="1">
        <v>45245</v>
      </c>
      <c r="B190" t="s">
        <v>45</v>
      </c>
      <c r="C190" t="s">
        <v>176</v>
      </c>
      <c r="D190" t="s">
        <v>159</v>
      </c>
      <c r="E190" s="2">
        <v>0.375</v>
      </c>
      <c r="F190">
        <v>25.4</v>
      </c>
      <c r="G190">
        <v>51.1</v>
      </c>
      <c r="H190">
        <v>5.88</v>
      </c>
      <c r="I190">
        <v>21</v>
      </c>
      <c r="J190">
        <v>78</v>
      </c>
    </row>
    <row r="191" spans="1:11" x14ac:dyDescent="0.25">
      <c r="A191" s="1">
        <v>45245</v>
      </c>
      <c r="B191" t="s">
        <v>45</v>
      </c>
      <c r="C191" t="s">
        <v>176</v>
      </c>
      <c r="D191" t="s">
        <v>236</v>
      </c>
      <c r="E191" s="2">
        <v>0.37361111111111112</v>
      </c>
      <c r="F191">
        <v>25.3</v>
      </c>
      <c r="G191">
        <v>55.4</v>
      </c>
      <c r="H191">
        <v>5.35</v>
      </c>
      <c r="I191">
        <v>21</v>
      </c>
      <c r="J191">
        <v>97</v>
      </c>
      <c r="K191">
        <f>AVERAGE(7.86,9.42)</f>
        <v>8.64</v>
      </c>
    </row>
    <row r="192" spans="1:11" x14ac:dyDescent="0.25">
      <c r="A192" s="1">
        <v>45243</v>
      </c>
      <c r="B192" t="s">
        <v>45</v>
      </c>
      <c r="C192" t="s">
        <v>178</v>
      </c>
      <c r="D192" t="s">
        <v>156</v>
      </c>
      <c r="E192" s="2">
        <v>0.41388888888888892</v>
      </c>
      <c r="F192">
        <v>24.3</v>
      </c>
      <c r="G192">
        <v>85.3</v>
      </c>
      <c r="H192">
        <v>5.12</v>
      </c>
      <c r="I192">
        <v>21</v>
      </c>
      <c r="J192">
        <v>300</v>
      </c>
    </row>
    <row r="193" spans="1:11" x14ac:dyDescent="0.25">
      <c r="A193" s="1">
        <v>45243</v>
      </c>
      <c r="B193" t="s">
        <v>45</v>
      </c>
      <c r="C193" t="s">
        <v>178</v>
      </c>
      <c r="D193" t="s">
        <v>157</v>
      </c>
      <c r="E193" s="2">
        <v>0.41666666666666669</v>
      </c>
      <c r="F193">
        <v>24.4</v>
      </c>
      <c r="G193">
        <v>87.1</v>
      </c>
    </row>
    <row r="194" spans="1:11" x14ac:dyDescent="0.25">
      <c r="A194" s="1">
        <v>45243</v>
      </c>
      <c r="B194" t="s">
        <v>45</v>
      </c>
      <c r="C194" t="s">
        <v>178</v>
      </c>
      <c r="D194" t="s">
        <v>237</v>
      </c>
      <c r="E194" s="2">
        <v>0.41805555555555557</v>
      </c>
      <c r="F194">
        <v>24.3</v>
      </c>
      <c r="G194">
        <v>87.2</v>
      </c>
    </row>
    <row r="195" spans="1:11" x14ac:dyDescent="0.25">
      <c r="A195" s="1">
        <v>45245</v>
      </c>
      <c r="B195" t="s">
        <v>45</v>
      </c>
      <c r="C195" t="s">
        <v>178</v>
      </c>
      <c r="D195" t="s">
        <v>156</v>
      </c>
      <c r="E195" s="2">
        <v>0.3611111111111111</v>
      </c>
      <c r="F195">
        <v>24.9</v>
      </c>
      <c r="G195">
        <v>93.1</v>
      </c>
      <c r="H195">
        <v>5.8</v>
      </c>
      <c r="I195">
        <v>20</v>
      </c>
      <c r="J195">
        <v>300</v>
      </c>
    </row>
    <row r="196" spans="1:11" x14ac:dyDescent="0.25">
      <c r="A196" s="1">
        <v>45245</v>
      </c>
      <c r="B196" t="s">
        <v>45</v>
      </c>
      <c r="C196" t="s">
        <v>178</v>
      </c>
      <c r="D196" t="s">
        <v>157</v>
      </c>
      <c r="E196" s="2">
        <v>0.36249999999999999</v>
      </c>
      <c r="F196">
        <v>24.9</v>
      </c>
      <c r="G196">
        <v>83.1</v>
      </c>
    </row>
    <row r="197" spans="1:11" x14ac:dyDescent="0.25">
      <c r="A197" s="1">
        <v>45245</v>
      </c>
      <c r="B197" t="s">
        <v>45</v>
      </c>
      <c r="C197" t="s">
        <v>178</v>
      </c>
      <c r="D197" t="s">
        <v>237</v>
      </c>
      <c r="E197" s="2">
        <v>0.36388888888888887</v>
      </c>
      <c r="F197">
        <v>24.8</v>
      </c>
      <c r="G197">
        <v>58.9</v>
      </c>
    </row>
    <row r="198" spans="1:11" x14ac:dyDescent="0.25">
      <c r="A198" s="1">
        <v>45250</v>
      </c>
      <c r="B198" t="s">
        <v>45</v>
      </c>
      <c r="C198" t="s">
        <v>191</v>
      </c>
      <c r="D198" t="s">
        <v>158</v>
      </c>
      <c r="E198" s="2">
        <v>0.40277777777777773</v>
      </c>
      <c r="F198">
        <v>25</v>
      </c>
      <c r="G198">
        <v>98.1</v>
      </c>
      <c r="H198">
        <v>6.03</v>
      </c>
      <c r="I198">
        <v>20</v>
      </c>
      <c r="J198">
        <v>78</v>
      </c>
      <c r="K198">
        <v>7.26</v>
      </c>
    </row>
    <row r="199" spans="1:11" x14ac:dyDescent="0.25">
      <c r="A199" s="1">
        <v>45250</v>
      </c>
      <c r="B199" t="s">
        <v>45</v>
      </c>
      <c r="C199" t="s">
        <v>191</v>
      </c>
      <c r="D199" t="s">
        <v>159</v>
      </c>
      <c r="E199" s="2">
        <v>0.40416666666666662</v>
      </c>
      <c r="F199">
        <v>25.1</v>
      </c>
      <c r="G199">
        <v>92.7</v>
      </c>
      <c r="H199">
        <v>6.21</v>
      </c>
      <c r="I199">
        <v>19</v>
      </c>
      <c r="J199">
        <v>85.5</v>
      </c>
    </row>
    <row r="200" spans="1:11" x14ac:dyDescent="0.25">
      <c r="A200" s="1">
        <v>45250</v>
      </c>
      <c r="B200" t="s">
        <v>45</v>
      </c>
      <c r="C200" t="s">
        <v>191</v>
      </c>
      <c r="D200" t="s">
        <v>236</v>
      </c>
      <c r="E200" s="2">
        <v>0.4055555555555555</v>
      </c>
      <c r="F200">
        <v>25.3</v>
      </c>
      <c r="G200">
        <v>99.3</v>
      </c>
      <c r="H200">
        <v>6.31</v>
      </c>
      <c r="I200">
        <v>16</v>
      </c>
      <c r="J200">
        <v>95</v>
      </c>
    </row>
    <row r="201" spans="1:11" x14ac:dyDescent="0.25">
      <c r="A201" s="1">
        <v>45252</v>
      </c>
      <c r="B201" t="s">
        <v>45</v>
      </c>
      <c r="C201" t="s">
        <v>191</v>
      </c>
      <c r="D201" t="s">
        <v>158</v>
      </c>
      <c r="E201" s="2">
        <v>0.38680555555555557</v>
      </c>
      <c r="F201">
        <v>24.6</v>
      </c>
      <c r="G201">
        <v>52.1</v>
      </c>
      <c r="H201">
        <v>5.19</v>
      </c>
      <c r="I201">
        <v>20</v>
      </c>
      <c r="J201">
        <v>78</v>
      </c>
      <c r="K201">
        <f>AVERAGE(9.76,9.68)</f>
        <v>9.7199999999999989</v>
      </c>
    </row>
    <row r="202" spans="1:11" x14ac:dyDescent="0.25">
      <c r="A202" s="1">
        <v>45252</v>
      </c>
      <c r="B202" t="s">
        <v>45</v>
      </c>
      <c r="C202" t="s">
        <v>191</v>
      </c>
      <c r="D202" t="s">
        <v>159</v>
      </c>
      <c r="E202" s="2">
        <v>0.38541666666666669</v>
      </c>
      <c r="F202">
        <v>24.6</v>
      </c>
      <c r="G202">
        <v>54.4</v>
      </c>
      <c r="H202">
        <v>5.19</v>
      </c>
      <c r="I202">
        <v>21</v>
      </c>
      <c r="J202">
        <v>85.5</v>
      </c>
    </row>
    <row r="203" spans="1:11" x14ac:dyDescent="0.25">
      <c r="A203" s="1">
        <v>45252</v>
      </c>
      <c r="B203" t="s">
        <v>45</v>
      </c>
      <c r="C203" t="s">
        <v>191</v>
      </c>
      <c r="D203" t="s">
        <v>236</v>
      </c>
      <c r="E203" s="2">
        <v>0.38472222222222219</v>
      </c>
      <c r="F203">
        <v>24.4</v>
      </c>
      <c r="G203">
        <v>53.6</v>
      </c>
      <c r="H203">
        <v>5.43</v>
      </c>
      <c r="I203">
        <v>21</v>
      </c>
      <c r="J203">
        <v>95</v>
      </c>
    </row>
    <row r="204" spans="1:11" x14ac:dyDescent="0.25">
      <c r="A204" s="1">
        <v>45222</v>
      </c>
      <c r="B204" t="s">
        <v>45</v>
      </c>
      <c r="C204" t="s">
        <v>74</v>
      </c>
      <c r="D204" t="s">
        <v>65</v>
      </c>
      <c r="E204" s="2">
        <v>0.36805555555555558</v>
      </c>
      <c r="F204">
        <v>24.5</v>
      </c>
      <c r="G204">
        <v>58.2</v>
      </c>
      <c r="H204">
        <v>5.88</v>
      </c>
      <c r="I204">
        <v>22</v>
      </c>
      <c r="J204">
        <v>95</v>
      </c>
    </row>
    <row r="205" spans="1:11" x14ac:dyDescent="0.25">
      <c r="A205" s="1">
        <v>45222</v>
      </c>
      <c r="B205" t="s">
        <v>45</v>
      </c>
      <c r="C205" t="s">
        <v>74</v>
      </c>
      <c r="D205" t="s">
        <v>66</v>
      </c>
      <c r="E205" s="2">
        <v>0.36805555555555558</v>
      </c>
      <c r="F205">
        <v>25.3</v>
      </c>
      <c r="G205">
        <v>77.7</v>
      </c>
      <c r="H205">
        <v>5.65</v>
      </c>
      <c r="I205">
        <v>23</v>
      </c>
      <c r="J205">
        <v>185</v>
      </c>
    </row>
    <row r="206" spans="1:11" x14ac:dyDescent="0.25">
      <c r="A206" s="1">
        <v>45222</v>
      </c>
      <c r="B206" t="s">
        <v>45</v>
      </c>
      <c r="C206" t="s">
        <v>74</v>
      </c>
      <c r="D206" t="s">
        <v>67</v>
      </c>
      <c r="E206" s="2">
        <v>0.36805555555555558</v>
      </c>
      <c r="F206">
        <v>25.3</v>
      </c>
      <c r="G206">
        <v>81</v>
      </c>
      <c r="H206">
        <v>5.46</v>
      </c>
      <c r="I206">
        <v>23</v>
      </c>
      <c r="J206">
        <v>195</v>
      </c>
    </row>
    <row r="207" spans="1:11" x14ac:dyDescent="0.25">
      <c r="A207" s="1">
        <v>45224</v>
      </c>
      <c r="B207" t="s">
        <v>45</v>
      </c>
      <c r="C207" t="s">
        <v>74</v>
      </c>
      <c r="D207" t="s">
        <v>65</v>
      </c>
      <c r="E207" s="2">
        <v>0.35347222222222219</v>
      </c>
      <c r="F207">
        <v>25.1</v>
      </c>
      <c r="G207">
        <v>65.099999999999994</v>
      </c>
      <c r="H207">
        <v>6.39</v>
      </c>
      <c r="I207">
        <v>23</v>
      </c>
      <c r="J207">
        <v>104</v>
      </c>
    </row>
    <row r="208" spans="1:11" x14ac:dyDescent="0.25">
      <c r="A208" s="1">
        <v>45224</v>
      </c>
      <c r="B208" t="s">
        <v>45</v>
      </c>
      <c r="C208" t="s">
        <v>74</v>
      </c>
      <c r="D208" t="s">
        <v>66</v>
      </c>
      <c r="E208" s="2">
        <v>0.35416666666666669</v>
      </c>
      <c r="F208">
        <v>25.3</v>
      </c>
      <c r="G208">
        <v>64.599999999999994</v>
      </c>
      <c r="H208">
        <v>5.83</v>
      </c>
      <c r="I208">
        <v>23</v>
      </c>
      <c r="J208">
        <v>168</v>
      </c>
    </row>
    <row r="209" spans="1:12" x14ac:dyDescent="0.25">
      <c r="A209" s="1">
        <v>45224</v>
      </c>
      <c r="B209" t="s">
        <v>45</v>
      </c>
      <c r="C209" t="s">
        <v>74</v>
      </c>
      <c r="D209" t="s">
        <v>67</v>
      </c>
      <c r="E209" s="2">
        <v>0.35555555555555557</v>
      </c>
      <c r="F209">
        <v>25.4</v>
      </c>
      <c r="G209">
        <v>62.8</v>
      </c>
      <c r="H209">
        <v>5.49</v>
      </c>
      <c r="I209">
        <v>23</v>
      </c>
      <c r="J209">
        <v>175</v>
      </c>
    </row>
    <row r="210" spans="1:12" x14ac:dyDescent="0.25">
      <c r="A210" s="1">
        <v>45229</v>
      </c>
      <c r="B210" t="s">
        <v>45</v>
      </c>
      <c r="C210" t="s">
        <v>76</v>
      </c>
      <c r="D210" t="s">
        <v>65</v>
      </c>
      <c r="E210" s="2">
        <v>0.39444444444444443</v>
      </c>
      <c r="F210">
        <v>25.3</v>
      </c>
      <c r="G210">
        <v>24.7</v>
      </c>
      <c r="H210">
        <v>5.12</v>
      </c>
      <c r="I210">
        <v>25</v>
      </c>
      <c r="J210">
        <v>210</v>
      </c>
    </row>
    <row r="211" spans="1:12" x14ac:dyDescent="0.25">
      <c r="A211" s="1">
        <v>45229</v>
      </c>
      <c r="B211" t="s">
        <v>45</v>
      </c>
      <c r="C211" t="s">
        <v>76</v>
      </c>
      <c r="D211" t="s">
        <v>66</v>
      </c>
      <c r="E211" s="2">
        <v>0.39513888888888887</v>
      </c>
      <c r="F211">
        <v>25.4</v>
      </c>
      <c r="G211">
        <v>19.8</v>
      </c>
      <c r="H211">
        <v>5.43</v>
      </c>
      <c r="I211">
        <v>25</v>
      </c>
      <c r="J211">
        <v>198</v>
      </c>
    </row>
    <row r="212" spans="1:12" x14ac:dyDescent="0.25">
      <c r="A212" s="1">
        <v>45229</v>
      </c>
      <c r="B212" t="s">
        <v>45</v>
      </c>
      <c r="C212" t="s">
        <v>76</v>
      </c>
      <c r="D212" t="s">
        <v>67</v>
      </c>
      <c r="E212" s="2">
        <v>0.39930555555555558</v>
      </c>
      <c r="F212">
        <v>25.5</v>
      </c>
      <c r="G212">
        <v>33.4</v>
      </c>
      <c r="H212">
        <v>5.59</v>
      </c>
      <c r="I212">
        <v>23</v>
      </c>
      <c r="J212">
        <v>193</v>
      </c>
    </row>
    <row r="213" spans="1:12" x14ac:dyDescent="0.25">
      <c r="A213" s="1">
        <v>45231</v>
      </c>
      <c r="B213" t="s">
        <v>45</v>
      </c>
      <c r="C213" t="s">
        <v>76</v>
      </c>
      <c r="D213" t="s">
        <v>65</v>
      </c>
      <c r="E213" s="2">
        <v>0.36319444444444443</v>
      </c>
      <c r="F213">
        <v>24.3</v>
      </c>
      <c r="G213">
        <v>8.1999999999999993</v>
      </c>
      <c r="H213">
        <v>5.54</v>
      </c>
      <c r="I213">
        <v>26</v>
      </c>
      <c r="J213">
        <v>35</v>
      </c>
      <c r="L213" t="s">
        <v>64</v>
      </c>
    </row>
    <row r="214" spans="1:12" x14ac:dyDescent="0.25">
      <c r="A214" s="1">
        <v>45231</v>
      </c>
      <c r="B214" t="s">
        <v>45</v>
      </c>
      <c r="C214" t="s">
        <v>76</v>
      </c>
      <c r="D214" t="s">
        <v>66</v>
      </c>
      <c r="E214" s="2">
        <v>0.36458333333333331</v>
      </c>
      <c r="F214">
        <v>25.2</v>
      </c>
      <c r="G214">
        <v>13.1</v>
      </c>
      <c r="H214">
        <v>5.61</v>
      </c>
      <c r="I214">
        <v>25</v>
      </c>
      <c r="J214">
        <v>222</v>
      </c>
    </row>
    <row r="215" spans="1:12" x14ac:dyDescent="0.25">
      <c r="A215" s="1">
        <v>45231</v>
      </c>
      <c r="B215" t="s">
        <v>45</v>
      </c>
      <c r="C215" t="s">
        <v>76</v>
      </c>
      <c r="D215" t="s">
        <v>67</v>
      </c>
      <c r="E215" s="2">
        <v>0.3659722222222222</v>
      </c>
      <c r="F215">
        <v>25.8</v>
      </c>
      <c r="G215">
        <v>22.3</v>
      </c>
      <c r="H215">
        <v>5.35</v>
      </c>
      <c r="I215">
        <v>24</v>
      </c>
      <c r="J215">
        <v>222</v>
      </c>
    </row>
    <row r="216" spans="1:12" x14ac:dyDescent="0.25">
      <c r="A216" s="1">
        <v>45236</v>
      </c>
      <c r="B216" t="s">
        <v>45</v>
      </c>
      <c r="C216" t="s">
        <v>152</v>
      </c>
      <c r="D216" t="s">
        <v>65</v>
      </c>
      <c r="E216" s="2">
        <v>0.4458333333333333</v>
      </c>
      <c r="F216">
        <v>27.4</v>
      </c>
      <c r="G216">
        <v>99.8</v>
      </c>
      <c r="H216">
        <v>5.84</v>
      </c>
      <c r="I216">
        <v>21</v>
      </c>
      <c r="J216">
        <v>300</v>
      </c>
      <c r="L216" t="s">
        <v>160</v>
      </c>
    </row>
    <row r="217" spans="1:12" x14ac:dyDescent="0.25">
      <c r="A217" s="1">
        <v>45236</v>
      </c>
      <c r="B217" t="s">
        <v>45</v>
      </c>
      <c r="C217" t="s">
        <v>152</v>
      </c>
      <c r="D217" t="s">
        <v>66</v>
      </c>
      <c r="E217" s="2">
        <v>0.44722222222222219</v>
      </c>
      <c r="F217">
        <v>25.9</v>
      </c>
      <c r="G217">
        <v>91.2</v>
      </c>
    </row>
    <row r="218" spans="1:12" x14ac:dyDescent="0.25">
      <c r="A218" s="1">
        <v>45236</v>
      </c>
      <c r="B218" t="s">
        <v>45</v>
      </c>
      <c r="C218" t="s">
        <v>152</v>
      </c>
      <c r="D218" t="s">
        <v>67</v>
      </c>
      <c r="E218" s="2">
        <v>0.44722222222222219</v>
      </c>
      <c r="F218">
        <v>25.5</v>
      </c>
      <c r="G218">
        <v>89</v>
      </c>
    </row>
    <row r="219" spans="1:12" x14ac:dyDescent="0.25">
      <c r="A219" s="1">
        <v>45238</v>
      </c>
      <c r="B219" t="s">
        <v>45</v>
      </c>
      <c r="C219" t="s">
        <v>152</v>
      </c>
      <c r="D219" t="s">
        <v>65</v>
      </c>
      <c r="E219" s="2">
        <v>0.38125000000000003</v>
      </c>
      <c r="F219">
        <v>24.6</v>
      </c>
      <c r="G219">
        <v>84.3</v>
      </c>
      <c r="H219">
        <v>5.85</v>
      </c>
      <c r="I219">
        <v>20</v>
      </c>
      <c r="J219">
        <v>300</v>
      </c>
    </row>
    <row r="220" spans="1:12" x14ac:dyDescent="0.25">
      <c r="A220" s="1">
        <v>45238</v>
      </c>
      <c r="B220" t="s">
        <v>45</v>
      </c>
      <c r="C220" t="s">
        <v>152</v>
      </c>
      <c r="D220" t="s">
        <v>66</v>
      </c>
      <c r="E220" s="2">
        <v>0.38194444444444442</v>
      </c>
      <c r="F220">
        <v>24.5</v>
      </c>
      <c r="G220">
        <v>83.2</v>
      </c>
    </row>
    <row r="221" spans="1:12" x14ac:dyDescent="0.25">
      <c r="A221" s="1">
        <v>45238</v>
      </c>
      <c r="B221" t="s">
        <v>45</v>
      </c>
      <c r="C221" t="s">
        <v>152</v>
      </c>
      <c r="D221" t="s">
        <v>67</v>
      </c>
      <c r="E221" s="2">
        <v>0.38263888888888892</v>
      </c>
      <c r="F221">
        <v>24.4</v>
      </c>
      <c r="G221">
        <v>85.7</v>
      </c>
    </row>
    <row r="222" spans="1:12" x14ac:dyDescent="0.25">
      <c r="A222" s="1">
        <v>45243</v>
      </c>
      <c r="B222" t="s">
        <v>45</v>
      </c>
      <c r="C222" t="s">
        <v>179</v>
      </c>
      <c r="D222" t="s">
        <v>65</v>
      </c>
      <c r="E222" s="2">
        <v>0.4548611111111111</v>
      </c>
      <c r="F222">
        <v>24.6</v>
      </c>
      <c r="G222">
        <v>90.8</v>
      </c>
      <c r="H222">
        <v>5.44</v>
      </c>
      <c r="I222">
        <v>20</v>
      </c>
      <c r="J222">
        <v>300</v>
      </c>
    </row>
    <row r="223" spans="1:12" x14ac:dyDescent="0.25">
      <c r="A223" s="1">
        <v>45243</v>
      </c>
      <c r="B223" t="s">
        <v>45</v>
      </c>
      <c r="C223" t="s">
        <v>179</v>
      </c>
      <c r="D223" t="s">
        <v>66</v>
      </c>
      <c r="E223" s="2">
        <v>0.45555555555555555</v>
      </c>
      <c r="F223">
        <v>24.9</v>
      </c>
      <c r="G223">
        <v>91.8</v>
      </c>
    </row>
    <row r="224" spans="1:12" x14ac:dyDescent="0.25">
      <c r="A224" s="1">
        <v>45243</v>
      </c>
      <c r="B224" t="s">
        <v>45</v>
      </c>
      <c r="C224" t="s">
        <v>179</v>
      </c>
      <c r="D224" t="s">
        <v>67</v>
      </c>
      <c r="E224" s="2">
        <v>0.45555555555555555</v>
      </c>
      <c r="F224">
        <v>25</v>
      </c>
      <c r="G224">
        <v>93</v>
      </c>
    </row>
    <row r="225" spans="1:13" x14ac:dyDescent="0.25">
      <c r="A225" s="1">
        <v>45245</v>
      </c>
      <c r="B225" t="s">
        <v>45</v>
      </c>
      <c r="C225" t="s">
        <v>179</v>
      </c>
      <c r="D225" t="s">
        <v>65</v>
      </c>
      <c r="E225" s="2">
        <v>0.39652777777777781</v>
      </c>
      <c r="F225">
        <v>25.4</v>
      </c>
      <c r="G225">
        <v>97.2</v>
      </c>
      <c r="H225">
        <v>5.57</v>
      </c>
      <c r="I225">
        <v>20</v>
      </c>
      <c r="J225">
        <v>300</v>
      </c>
    </row>
    <row r="226" spans="1:13" x14ac:dyDescent="0.25">
      <c r="A226" s="1">
        <v>45245</v>
      </c>
      <c r="B226" t="s">
        <v>45</v>
      </c>
      <c r="C226" t="s">
        <v>179</v>
      </c>
      <c r="D226" t="s">
        <v>66</v>
      </c>
      <c r="E226" s="2">
        <v>0.3979166666666667</v>
      </c>
      <c r="F226">
        <v>25.4</v>
      </c>
      <c r="G226">
        <v>94.6</v>
      </c>
    </row>
    <row r="227" spans="1:13" x14ac:dyDescent="0.25">
      <c r="A227" s="1">
        <v>45245</v>
      </c>
      <c r="B227" t="s">
        <v>45</v>
      </c>
      <c r="C227" t="s">
        <v>179</v>
      </c>
      <c r="D227" t="s">
        <v>67</v>
      </c>
      <c r="E227" s="2">
        <v>0.39930555555555558</v>
      </c>
      <c r="F227">
        <v>25.1</v>
      </c>
      <c r="G227">
        <v>82.1</v>
      </c>
    </row>
    <row r="228" spans="1:13" x14ac:dyDescent="0.25">
      <c r="A228" s="1">
        <v>45203</v>
      </c>
      <c r="B228" t="s">
        <v>9</v>
      </c>
      <c r="C228" t="s">
        <v>261</v>
      </c>
      <c r="D228">
        <v>1</v>
      </c>
      <c r="E228" s="2">
        <v>0.43055555555555558</v>
      </c>
      <c r="F228">
        <v>22.7</v>
      </c>
      <c r="G228">
        <v>6.5</v>
      </c>
      <c r="H228">
        <v>5.9</v>
      </c>
      <c r="I228">
        <v>12</v>
      </c>
      <c r="J228">
        <v>37</v>
      </c>
    </row>
    <row r="229" spans="1:13" x14ac:dyDescent="0.25">
      <c r="A229" s="1">
        <v>45203</v>
      </c>
      <c r="B229" t="s">
        <v>9</v>
      </c>
      <c r="C229" t="s">
        <v>261</v>
      </c>
      <c r="D229">
        <v>2</v>
      </c>
      <c r="E229" s="2">
        <v>0.43333333333333335</v>
      </c>
      <c r="F229">
        <v>22.8</v>
      </c>
      <c r="G229">
        <v>7</v>
      </c>
      <c r="H229">
        <v>5.6</v>
      </c>
      <c r="I229">
        <v>9</v>
      </c>
      <c r="J229">
        <v>54</v>
      </c>
    </row>
    <row r="230" spans="1:13" x14ac:dyDescent="0.25">
      <c r="A230" s="1">
        <v>45203</v>
      </c>
      <c r="B230" t="s">
        <v>9</v>
      </c>
      <c r="C230" t="s">
        <v>261</v>
      </c>
      <c r="D230" t="s">
        <v>10</v>
      </c>
      <c r="E230" s="2">
        <v>0.43611111111111112</v>
      </c>
      <c r="F230">
        <v>22.6</v>
      </c>
      <c r="G230">
        <v>1.2</v>
      </c>
      <c r="H230">
        <v>5.0999999999999996</v>
      </c>
      <c r="I230">
        <v>10</v>
      </c>
      <c r="J230">
        <v>77</v>
      </c>
    </row>
    <row r="231" spans="1:13" x14ac:dyDescent="0.25">
      <c r="A231" s="1">
        <v>45203</v>
      </c>
      <c r="B231" t="s">
        <v>9</v>
      </c>
      <c r="C231" t="s">
        <v>261</v>
      </c>
      <c r="D231">
        <v>4</v>
      </c>
      <c r="E231" s="2">
        <v>0.43888888888888888</v>
      </c>
      <c r="F231">
        <v>22.4</v>
      </c>
      <c r="G231">
        <v>3.1</v>
      </c>
      <c r="H231">
        <v>4.8</v>
      </c>
      <c r="I231">
        <v>8</v>
      </c>
      <c r="J231">
        <v>40</v>
      </c>
    </row>
    <row r="232" spans="1:13" x14ac:dyDescent="0.25">
      <c r="A232" s="1">
        <v>45203</v>
      </c>
      <c r="B232" t="s">
        <v>9</v>
      </c>
      <c r="C232" t="s">
        <v>261</v>
      </c>
      <c r="D232">
        <v>5</v>
      </c>
      <c r="E232" s="2">
        <v>0.53819444444444442</v>
      </c>
      <c r="F232">
        <v>27.2</v>
      </c>
      <c r="G232">
        <v>34.5</v>
      </c>
      <c r="H232">
        <v>4.4000000000000004</v>
      </c>
      <c r="I232">
        <v>8</v>
      </c>
      <c r="J232">
        <v>46</v>
      </c>
    </row>
    <row r="233" spans="1:13" x14ac:dyDescent="0.25">
      <c r="A233" s="1">
        <v>45203</v>
      </c>
      <c r="B233" t="s">
        <v>9</v>
      </c>
      <c r="C233" t="s">
        <v>261</v>
      </c>
      <c r="D233">
        <v>6</v>
      </c>
      <c r="E233" s="2">
        <v>0.54375000000000007</v>
      </c>
      <c r="F233">
        <v>26.4</v>
      </c>
      <c r="G233">
        <v>33.6</v>
      </c>
      <c r="H233">
        <v>3.8</v>
      </c>
      <c r="I233">
        <v>9</v>
      </c>
      <c r="J233">
        <v>35</v>
      </c>
    </row>
    <row r="234" spans="1:13" x14ac:dyDescent="0.25">
      <c r="A234" s="1">
        <v>45205</v>
      </c>
      <c r="B234" t="s">
        <v>9</v>
      </c>
      <c r="C234" t="s">
        <v>261</v>
      </c>
      <c r="D234" t="s">
        <v>10</v>
      </c>
      <c r="E234" s="2">
        <v>0.44444444444444442</v>
      </c>
      <c r="F234">
        <v>22.8</v>
      </c>
      <c r="G234">
        <v>10</v>
      </c>
      <c r="H234">
        <v>4.2</v>
      </c>
      <c r="I234">
        <v>11</v>
      </c>
      <c r="J234">
        <v>76</v>
      </c>
    </row>
    <row r="235" spans="1:13" x14ac:dyDescent="0.25">
      <c r="A235" s="1">
        <v>45205</v>
      </c>
      <c r="B235" t="s">
        <v>9</v>
      </c>
      <c r="C235" t="s">
        <v>261</v>
      </c>
      <c r="D235" t="s">
        <v>11</v>
      </c>
      <c r="E235" s="2">
        <v>0.44791666666666669</v>
      </c>
      <c r="F235">
        <v>22.8</v>
      </c>
      <c r="G235">
        <v>11.3</v>
      </c>
      <c r="H235">
        <v>4.3</v>
      </c>
      <c r="I235">
        <v>10</v>
      </c>
      <c r="J235">
        <v>72</v>
      </c>
    </row>
    <row r="236" spans="1:13" x14ac:dyDescent="0.25">
      <c r="A236" s="1">
        <v>45205</v>
      </c>
      <c r="B236" t="s">
        <v>9</v>
      </c>
      <c r="C236" t="s">
        <v>261</v>
      </c>
      <c r="D236" t="s">
        <v>20</v>
      </c>
      <c r="E236" s="2">
        <v>0.50347222222222221</v>
      </c>
      <c r="F236">
        <v>23</v>
      </c>
      <c r="G236">
        <v>4</v>
      </c>
      <c r="J236">
        <v>10</v>
      </c>
      <c r="M236">
        <v>110</v>
      </c>
    </row>
    <row r="237" spans="1:13" x14ac:dyDescent="0.25">
      <c r="A237" s="1">
        <v>45205</v>
      </c>
      <c r="B237" t="s">
        <v>9</v>
      </c>
      <c r="C237" t="s">
        <v>261</v>
      </c>
      <c r="D237" t="s">
        <v>21</v>
      </c>
      <c r="E237" s="2">
        <v>0.50347222222222221</v>
      </c>
      <c r="F237">
        <v>22.9</v>
      </c>
      <c r="G237">
        <v>2.6</v>
      </c>
      <c r="J237">
        <v>52</v>
      </c>
      <c r="M237">
        <v>110</v>
      </c>
    </row>
    <row r="238" spans="1:13" x14ac:dyDescent="0.25">
      <c r="A238" s="1">
        <v>45205</v>
      </c>
      <c r="B238" t="s">
        <v>9</v>
      </c>
      <c r="C238" t="s">
        <v>261</v>
      </c>
      <c r="D238" t="s">
        <v>22</v>
      </c>
      <c r="E238" s="2">
        <v>0.50208333333333333</v>
      </c>
      <c r="F238">
        <v>23</v>
      </c>
      <c r="G238">
        <v>4.3</v>
      </c>
      <c r="J238">
        <v>10</v>
      </c>
      <c r="M238">
        <v>100</v>
      </c>
    </row>
    <row r="239" spans="1:13" x14ac:dyDescent="0.25">
      <c r="A239" s="1">
        <v>45205</v>
      </c>
      <c r="B239" t="s">
        <v>9</v>
      </c>
      <c r="C239" t="s">
        <v>261</v>
      </c>
      <c r="D239" t="s">
        <v>23</v>
      </c>
      <c r="E239" s="2">
        <v>0.50208333333333333</v>
      </c>
      <c r="F239">
        <v>22.8</v>
      </c>
      <c r="G239">
        <v>2.7</v>
      </c>
      <c r="J239">
        <v>50</v>
      </c>
      <c r="M239">
        <v>100</v>
      </c>
    </row>
    <row r="240" spans="1:13" x14ac:dyDescent="0.25">
      <c r="A240" s="1">
        <v>45205</v>
      </c>
      <c r="B240" t="s">
        <v>9</v>
      </c>
      <c r="C240" t="s">
        <v>261</v>
      </c>
      <c r="D240" t="s">
        <v>24</v>
      </c>
      <c r="E240" s="2">
        <v>0.5</v>
      </c>
      <c r="F240">
        <v>23</v>
      </c>
      <c r="G240">
        <v>3.7</v>
      </c>
      <c r="J240">
        <v>10</v>
      </c>
      <c r="M240">
        <v>190</v>
      </c>
    </row>
    <row r="241" spans="1:13" x14ac:dyDescent="0.25">
      <c r="A241" s="1">
        <v>45205</v>
      </c>
      <c r="B241" t="s">
        <v>9</v>
      </c>
      <c r="C241" t="s">
        <v>261</v>
      </c>
      <c r="D241" t="s">
        <v>25</v>
      </c>
      <c r="E241" s="2">
        <v>0.5</v>
      </c>
      <c r="F241">
        <v>22.9</v>
      </c>
      <c r="G241">
        <v>3.2</v>
      </c>
      <c r="J241">
        <v>51</v>
      </c>
      <c r="M241">
        <v>190</v>
      </c>
    </row>
    <row r="242" spans="1:13" x14ac:dyDescent="0.25">
      <c r="A242" s="1">
        <v>45205</v>
      </c>
      <c r="B242" t="s">
        <v>9</v>
      </c>
      <c r="C242" t="s">
        <v>261</v>
      </c>
      <c r="D242" t="s">
        <v>26</v>
      </c>
      <c r="E242" s="2">
        <v>0.49791666666666662</v>
      </c>
      <c r="F242">
        <v>23.1</v>
      </c>
      <c r="G242">
        <v>4.5</v>
      </c>
      <c r="J242">
        <v>10</v>
      </c>
      <c r="M242">
        <v>83</v>
      </c>
    </row>
    <row r="243" spans="1:13" x14ac:dyDescent="0.25">
      <c r="A243" s="1">
        <v>45205</v>
      </c>
      <c r="B243" t="s">
        <v>9</v>
      </c>
      <c r="C243" t="s">
        <v>261</v>
      </c>
      <c r="D243" t="s">
        <v>27</v>
      </c>
      <c r="E243" s="2">
        <v>0.49791666666666662</v>
      </c>
      <c r="F243">
        <v>22.9</v>
      </c>
      <c r="G243">
        <v>3.6</v>
      </c>
      <c r="J243">
        <v>51</v>
      </c>
      <c r="M243">
        <v>83</v>
      </c>
    </row>
    <row r="244" spans="1:13" x14ac:dyDescent="0.25">
      <c r="A244" s="1">
        <v>45205</v>
      </c>
      <c r="B244" t="s">
        <v>9</v>
      </c>
      <c r="C244" t="s">
        <v>261</v>
      </c>
      <c r="D244" t="s">
        <v>12</v>
      </c>
      <c r="E244" s="2">
        <v>0.51041666666666663</v>
      </c>
      <c r="F244">
        <v>24.3</v>
      </c>
      <c r="G244">
        <v>6.1</v>
      </c>
      <c r="J244">
        <v>9</v>
      </c>
    </row>
    <row r="245" spans="1:13" x14ac:dyDescent="0.25">
      <c r="A245" s="1">
        <v>45205</v>
      </c>
      <c r="B245" t="s">
        <v>9</v>
      </c>
      <c r="C245" t="s">
        <v>261</v>
      </c>
      <c r="D245" t="s">
        <v>13</v>
      </c>
      <c r="E245" s="2">
        <v>0.51041666666666663</v>
      </c>
      <c r="J245">
        <v>21</v>
      </c>
    </row>
    <row r="246" spans="1:13" x14ac:dyDescent="0.25">
      <c r="A246" s="1">
        <v>45205</v>
      </c>
      <c r="B246" t="s">
        <v>9</v>
      </c>
      <c r="C246" t="s">
        <v>261</v>
      </c>
      <c r="D246" t="s">
        <v>14</v>
      </c>
      <c r="E246" s="2">
        <v>0.51458333333333328</v>
      </c>
      <c r="F246">
        <v>24.9</v>
      </c>
      <c r="G246">
        <v>15.2</v>
      </c>
      <c r="J246">
        <v>10</v>
      </c>
    </row>
    <row r="247" spans="1:13" x14ac:dyDescent="0.25">
      <c r="A247" s="1">
        <v>45205</v>
      </c>
      <c r="B247" t="s">
        <v>9</v>
      </c>
      <c r="C247" t="s">
        <v>261</v>
      </c>
      <c r="D247" t="s">
        <v>15</v>
      </c>
      <c r="E247" s="2">
        <v>0.51458333333333328</v>
      </c>
      <c r="F247">
        <v>23.9</v>
      </c>
      <c r="G247">
        <v>1.2</v>
      </c>
      <c r="J247">
        <v>29</v>
      </c>
    </row>
    <row r="248" spans="1:13" x14ac:dyDescent="0.25">
      <c r="A248" s="1">
        <v>45205</v>
      </c>
      <c r="B248" t="s">
        <v>9</v>
      </c>
      <c r="C248" t="s">
        <v>261</v>
      </c>
      <c r="D248" t="s">
        <v>16</v>
      </c>
      <c r="E248" s="2">
        <v>0.51736111111111105</v>
      </c>
      <c r="F248">
        <v>24.9</v>
      </c>
      <c r="G248">
        <v>10</v>
      </c>
      <c r="J248">
        <v>11</v>
      </c>
    </row>
    <row r="249" spans="1:13" x14ac:dyDescent="0.25">
      <c r="A249" s="1">
        <v>45205</v>
      </c>
      <c r="B249" t="s">
        <v>9</v>
      </c>
      <c r="C249" t="s">
        <v>261</v>
      </c>
      <c r="D249" t="s">
        <v>17</v>
      </c>
      <c r="E249" s="2">
        <v>0.51736111111111105</v>
      </c>
      <c r="F249">
        <v>23.8</v>
      </c>
      <c r="G249">
        <v>0.7</v>
      </c>
      <c r="J249">
        <v>36</v>
      </c>
    </row>
    <row r="250" spans="1:13" x14ac:dyDescent="0.25">
      <c r="A250" s="1">
        <v>45205</v>
      </c>
      <c r="B250" t="s">
        <v>9</v>
      </c>
      <c r="C250" t="s">
        <v>261</v>
      </c>
      <c r="D250" t="s">
        <v>18</v>
      </c>
      <c r="E250" s="2">
        <v>0.52083333333333337</v>
      </c>
      <c r="F250">
        <v>24.6</v>
      </c>
      <c r="G250">
        <v>10</v>
      </c>
      <c r="J250">
        <v>10</v>
      </c>
    </row>
    <row r="251" spans="1:13" x14ac:dyDescent="0.25">
      <c r="A251" s="1">
        <v>45205</v>
      </c>
      <c r="B251" t="s">
        <v>9</v>
      </c>
      <c r="C251" t="s">
        <v>261</v>
      </c>
      <c r="D251" t="s">
        <v>19</v>
      </c>
      <c r="E251" s="2">
        <v>0.52083333333333337</v>
      </c>
      <c r="F251">
        <v>23.9</v>
      </c>
      <c r="G251">
        <v>1.3</v>
      </c>
      <c r="J251">
        <v>37</v>
      </c>
    </row>
    <row r="252" spans="1:13" x14ac:dyDescent="0.25">
      <c r="A252" s="1">
        <v>45217</v>
      </c>
      <c r="B252" t="s">
        <v>9</v>
      </c>
      <c r="C252" t="s">
        <v>261</v>
      </c>
      <c r="D252" t="s">
        <v>68</v>
      </c>
      <c r="E252" s="2">
        <v>0.60347222222222219</v>
      </c>
      <c r="F252">
        <v>25</v>
      </c>
      <c r="G252">
        <v>4.9000000000000004</v>
      </c>
      <c r="H252">
        <v>3.4</v>
      </c>
      <c r="I252">
        <v>9</v>
      </c>
      <c r="J252">
        <v>73.5</v>
      </c>
      <c r="K252">
        <f>AVERAGE(1.29,1.9)</f>
        <v>1.595</v>
      </c>
    </row>
    <row r="253" spans="1:13" x14ac:dyDescent="0.25">
      <c r="A253" s="1">
        <v>45217</v>
      </c>
      <c r="B253" t="s">
        <v>9</v>
      </c>
      <c r="C253" t="s">
        <v>261</v>
      </c>
      <c r="D253" t="s">
        <v>69</v>
      </c>
      <c r="E253" s="2">
        <v>0.60347222222222219</v>
      </c>
      <c r="F253">
        <v>25</v>
      </c>
      <c r="G253">
        <v>4.9000000000000004</v>
      </c>
      <c r="H253">
        <v>3.45</v>
      </c>
      <c r="I253">
        <v>9</v>
      </c>
      <c r="J253">
        <v>73</v>
      </c>
    </row>
    <row r="254" spans="1:13" x14ac:dyDescent="0.25">
      <c r="A254" s="1">
        <v>45217</v>
      </c>
      <c r="B254" t="s">
        <v>9</v>
      </c>
      <c r="C254" t="s">
        <v>261</v>
      </c>
      <c r="D254" t="s">
        <v>70</v>
      </c>
      <c r="E254" s="2">
        <v>0.60347222222222219</v>
      </c>
      <c r="F254">
        <v>26.3</v>
      </c>
      <c r="G254">
        <v>4.5</v>
      </c>
      <c r="H254">
        <v>3.32</v>
      </c>
      <c r="I254">
        <v>9</v>
      </c>
      <c r="J254">
        <v>40</v>
      </c>
    </row>
    <row r="255" spans="1:13" x14ac:dyDescent="0.25">
      <c r="A255" s="1">
        <v>45219</v>
      </c>
      <c r="B255" t="s">
        <v>9</v>
      </c>
      <c r="C255" t="s">
        <v>261</v>
      </c>
      <c r="D255" t="s">
        <v>68</v>
      </c>
      <c r="E255" s="2">
        <v>0.37222222222222223</v>
      </c>
      <c r="F255">
        <v>22.3</v>
      </c>
      <c r="G255">
        <v>3.6</v>
      </c>
      <c r="H255">
        <v>3.89</v>
      </c>
      <c r="I255">
        <v>10</v>
      </c>
      <c r="J255">
        <v>77</v>
      </c>
      <c r="K255">
        <f>AVERAGE(1.81,2.92)</f>
        <v>2.3650000000000002</v>
      </c>
      <c r="L255" t="s">
        <v>71</v>
      </c>
    </row>
    <row r="256" spans="1:13" x14ac:dyDescent="0.25">
      <c r="A256" s="1">
        <v>45219</v>
      </c>
      <c r="B256" t="s">
        <v>9</v>
      </c>
      <c r="C256" t="s">
        <v>261</v>
      </c>
      <c r="D256" t="s">
        <v>69</v>
      </c>
      <c r="E256" s="2">
        <v>0.37222222222222223</v>
      </c>
      <c r="F256">
        <v>22.4</v>
      </c>
      <c r="G256">
        <v>3.5</v>
      </c>
      <c r="H256">
        <v>3.59</v>
      </c>
      <c r="I256">
        <v>10</v>
      </c>
      <c r="J256">
        <v>78.5</v>
      </c>
    </row>
    <row r="257" spans="1:11" x14ac:dyDescent="0.25">
      <c r="A257" s="1">
        <v>45219</v>
      </c>
      <c r="B257" t="s">
        <v>9</v>
      </c>
      <c r="C257" t="s">
        <v>261</v>
      </c>
      <c r="D257" t="s">
        <v>70</v>
      </c>
      <c r="E257" s="2">
        <v>0.37222222222222223</v>
      </c>
      <c r="F257">
        <v>22.4</v>
      </c>
      <c r="G257">
        <v>4.2</v>
      </c>
      <c r="H257">
        <v>3.61</v>
      </c>
      <c r="I257">
        <v>10</v>
      </c>
      <c r="J257">
        <v>46</v>
      </c>
    </row>
    <row r="258" spans="1:11" x14ac:dyDescent="0.25">
      <c r="A258" s="1">
        <v>45224</v>
      </c>
      <c r="B258" t="s">
        <v>9</v>
      </c>
      <c r="C258" t="s">
        <v>261</v>
      </c>
      <c r="D258" t="s">
        <v>68</v>
      </c>
      <c r="E258" s="2">
        <v>0.57638888888888895</v>
      </c>
      <c r="F258">
        <v>24.8</v>
      </c>
      <c r="G258">
        <v>6.6</v>
      </c>
      <c r="H258">
        <v>3.62</v>
      </c>
      <c r="I258">
        <v>8</v>
      </c>
      <c r="J258">
        <v>75</v>
      </c>
      <c r="K258">
        <f>AVERAGE(1,1.28)</f>
        <v>1.1400000000000001</v>
      </c>
    </row>
    <row r="259" spans="1:11" x14ac:dyDescent="0.25">
      <c r="A259" s="1">
        <v>45224</v>
      </c>
      <c r="B259" t="s">
        <v>9</v>
      </c>
      <c r="C259" t="s">
        <v>261</v>
      </c>
      <c r="D259" t="s">
        <v>69</v>
      </c>
      <c r="E259" s="2">
        <v>0.57638888888888895</v>
      </c>
      <c r="F259">
        <v>24.4</v>
      </c>
      <c r="G259">
        <v>5</v>
      </c>
      <c r="H259">
        <v>3.52</v>
      </c>
      <c r="I259">
        <v>8</v>
      </c>
      <c r="J259">
        <v>76</v>
      </c>
    </row>
    <row r="260" spans="1:11" x14ac:dyDescent="0.25">
      <c r="A260" s="1">
        <v>45224</v>
      </c>
      <c r="B260" t="s">
        <v>9</v>
      </c>
      <c r="C260" t="s">
        <v>261</v>
      </c>
      <c r="D260" t="s">
        <v>70</v>
      </c>
      <c r="E260" s="2">
        <v>0.57708333333333328</v>
      </c>
      <c r="F260">
        <v>24.5</v>
      </c>
      <c r="G260">
        <v>7.2</v>
      </c>
      <c r="H260">
        <v>3.56</v>
      </c>
      <c r="I260">
        <v>8</v>
      </c>
      <c r="J260">
        <v>71</v>
      </c>
    </row>
    <row r="261" spans="1:11" x14ac:dyDescent="0.25">
      <c r="A261" s="1">
        <v>45226</v>
      </c>
      <c r="B261" t="s">
        <v>9</v>
      </c>
      <c r="C261" t="s">
        <v>261</v>
      </c>
      <c r="D261" t="s">
        <v>68</v>
      </c>
      <c r="E261" s="2">
        <v>0.3972222222222222</v>
      </c>
      <c r="F261">
        <v>23.3</v>
      </c>
      <c r="G261">
        <v>3.2</v>
      </c>
      <c r="H261">
        <v>4.3</v>
      </c>
      <c r="I261">
        <v>8</v>
      </c>
      <c r="J261">
        <v>73</v>
      </c>
      <c r="K261">
        <f>AVERAGE(0.98,0.86)</f>
        <v>0.91999999999999993</v>
      </c>
    </row>
    <row r="262" spans="1:11" x14ac:dyDescent="0.25">
      <c r="A262" s="1">
        <v>45226</v>
      </c>
      <c r="B262" t="s">
        <v>9</v>
      </c>
      <c r="C262" t="s">
        <v>261</v>
      </c>
      <c r="D262" t="s">
        <v>69</v>
      </c>
      <c r="E262" s="2">
        <v>0.3979166666666667</v>
      </c>
      <c r="F262">
        <v>23.2</v>
      </c>
      <c r="G262">
        <v>3.1</v>
      </c>
      <c r="H262">
        <v>3.94</v>
      </c>
      <c r="I262">
        <v>9</v>
      </c>
      <c r="J262">
        <v>77.5</v>
      </c>
    </row>
    <row r="263" spans="1:11" x14ac:dyDescent="0.25">
      <c r="A263" s="1">
        <v>45226</v>
      </c>
      <c r="B263" t="s">
        <v>9</v>
      </c>
      <c r="C263" t="s">
        <v>261</v>
      </c>
      <c r="D263" t="s">
        <v>70</v>
      </c>
      <c r="E263" s="2">
        <v>0.39861111111111108</v>
      </c>
      <c r="F263">
        <v>23.5</v>
      </c>
      <c r="G263">
        <v>4.5</v>
      </c>
      <c r="H263">
        <v>3.75</v>
      </c>
      <c r="I263">
        <v>10</v>
      </c>
      <c r="J263">
        <v>55</v>
      </c>
    </row>
    <row r="264" spans="1:11" x14ac:dyDescent="0.25">
      <c r="A264" s="1">
        <v>45231</v>
      </c>
      <c r="B264" t="s">
        <v>9</v>
      </c>
      <c r="C264" t="s">
        <v>261</v>
      </c>
      <c r="D264" t="s">
        <v>68</v>
      </c>
      <c r="E264" s="2">
        <v>0.54722222222222217</v>
      </c>
      <c r="F264">
        <v>24.3</v>
      </c>
      <c r="G264">
        <v>6.3</v>
      </c>
      <c r="H264">
        <v>3.45</v>
      </c>
      <c r="I264">
        <v>8</v>
      </c>
      <c r="J264">
        <v>80</v>
      </c>
      <c r="K264">
        <f>AVERAGE(2.94,2.33)</f>
        <v>2.6349999999999998</v>
      </c>
    </row>
    <row r="265" spans="1:11" x14ac:dyDescent="0.25">
      <c r="A265" s="1">
        <v>45231</v>
      </c>
      <c r="B265" t="s">
        <v>9</v>
      </c>
      <c r="C265" t="s">
        <v>261</v>
      </c>
      <c r="D265" t="s">
        <v>69</v>
      </c>
      <c r="E265" s="2">
        <v>0.54722222222222217</v>
      </c>
      <c r="F265">
        <v>24.3</v>
      </c>
      <c r="G265">
        <v>4.5999999999999996</v>
      </c>
      <c r="H265">
        <v>3.47</v>
      </c>
      <c r="I265">
        <v>8</v>
      </c>
      <c r="J265">
        <v>80</v>
      </c>
    </row>
    <row r="266" spans="1:11" x14ac:dyDescent="0.25">
      <c r="A266" s="1">
        <v>45231</v>
      </c>
      <c r="B266" t="s">
        <v>9</v>
      </c>
      <c r="C266" t="s">
        <v>261</v>
      </c>
      <c r="D266" t="s">
        <v>70</v>
      </c>
      <c r="E266" s="2">
        <v>0.54722222222222217</v>
      </c>
      <c r="F266">
        <v>24.9</v>
      </c>
      <c r="G266">
        <v>10.8</v>
      </c>
      <c r="H266">
        <v>3.48</v>
      </c>
      <c r="I266">
        <v>8</v>
      </c>
      <c r="J266">
        <v>43</v>
      </c>
    </row>
    <row r="267" spans="1:11" x14ac:dyDescent="0.25">
      <c r="A267" s="1">
        <v>45233</v>
      </c>
      <c r="B267" t="s">
        <v>9</v>
      </c>
      <c r="C267" t="s">
        <v>261</v>
      </c>
      <c r="D267" t="s">
        <v>68</v>
      </c>
      <c r="E267" s="2">
        <v>0.38541666666666669</v>
      </c>
      <c r="F267">
        <v>22.4</v>
      </c>
      <c r="G267">
        <v>4.5999999999999996</v>
      </c>
      <c r="H267">
        <v>3.95</v>
      </c>
      <c r="I267">
        <v>8</v>
      </c>
      <c r="J267">
        <v>80</v>
      </c>
      <c r="K267">
        <f>AVERAGE(0.75,1.17)</f>
        <v>0.96</v>
      </c>
    </row>
    <row r="268" spans="1:11" x14ac:dyDescent="0.25">
      <c r="A268" s="1">
        <v>45233</v>
      </c>
      <c r="B268" t="s">
        <v>9</v>
      </c>
      <c r="C268" t="s">
        <v>261</v>
      </c>
      <c r="D268" t="s">
        <v>69</v>
      </c>
      <c r="E268" s="2">
        <v>0.38611111111111113</v>
      </c>
      <c r="F268">
        <v>22.5</v>
      </c>
      <c r="G268">
        <v>3.3</v>
      </c>
      <c r="H268">
        <v>4.2</v>
      </c>
      <c r="I268">
        <v>8</v>
      </c>
      <c r="J268">
        <v>83</v>
      </c>
    </row>
    <row r="269" spans="1:11" x14ac:dyDescent="0.25">
      <c r="A269" s="1">
        <v>45233</v>
      </c>
      <c r="B269" t="s">
        <v>9</v>
      </c>
      <c r="C269" t="s">
        <v>261</v>
      </c>
      <c r="D269" t="s">
        <v>70</v>
      </c>
      <c r="E269" s="2">
        <v>0.38750000000000001</v>
      </c>
      <c r="F269">
        <v>22.8</v>
      </c>
      <c r="G269">
        <v>5.4</v>
      </c>
      <c r="H269">
        <v>4.3099999999999996</v>
      </c>
      <c r="I269">
        <v>8</v>
      </c>
      <c r="J269">
        <v>44</v>
      </c>
    </row>
    <row r="270" spans="1:11" x14ac:dyDescent="0.25">
      <c r="A270" s="1">
        <v>45238</v>
      </c>
      <c r="B270" t="s">
        <v>9</v>
      </c>
      <c r="C270" t="s">
        <v>261</v>
      </c>
      <c r="D270" t="s">
        <v>68</v>
      </c>
      <c r="E270" s="2">
        <v>0.52638888888888891</v>
      </c>
      <c r="F270">
        <v>23.1</v>
      </c>
      <c r="G270">
        <v>15.9</v>
      </c>
      <c r="H270">
        <v>3.94</v>
      </c>
      <c r="I270">
        <v>8</v>
      </c>
      <c r="J270">
        <v>86</v>
      </c>
      <c r="K270">
        <f>AVERAGE(1.68,1.91)</f>
        <v>1.7949999999999999</v>
      </c>
    </row>
    <row r="271" spans="1:11" x14ac:dyDescent="0.25">
      <c r="A271" s="1">
        <v>45238</v>
      </c>
      <c r="B271" t="s">
        <v>9</v>
      </c>
      <c r="C271" t="s">
        <v>261</v>
      </c>
      <c r="D271" t="s">
        <v>69</v>
      </c>
      <c r="E271" s="2">
        <v>0.52638888888888891</v>
      </c>
      <c r="F271">
        <v>23.2</v>
      </c>
      <c r="G271">
        <v>21.5</v>
      </c>
      <c r="H271">
        <v>3.8</v>
      </c>
      <c r="I271">
        <v>8</v>
      </c>
      <c r="J271">
        <v>91</v>
      </c>
    </row>
    <row r="272" spans="1:11" x14ac:dyDescent="0.25">
      <c r="A272" s="1">
        <v>45238</v>
      </c>
      <c r="B272" t="s">
        <v>9</v>
      </c>
      <c r="C272" t="s">
        <v>261</v>
      </c>
      <c r="D272" t="s">
        <v>70</v>
      </c>
      <c r="E272" s="2">
        <v>0.52708333333333335</v>
      </c>
      <c r="F272">
        <v>23.4</v>
      </c>
      <c r="G272">
        <v>28.8</v>
      </c>
      <c r="H272">
        <v>3.74</v>
      </c>
      <c r="I272">
        <v>8</v>
      </c>
      <c r="J272">
        <v>43</v>
      </c>
    </row>
    <row r="273" spans="1:11" x14ac:dyDescent="0.25">
      <c r="A273" s="1">
        <v>45240</v>
      </c>
      <c r="B273" t="s">
        <v>9</v>
      </c>
      <c r="C273" t="s">
        <v>261</v>
      </c>
      <c r="D273" t="s">
        <v>68</v>
      </c>
      <c r="E273" s="2">
        <v>2.7083333333333334E-2</v>
      </c>
      <c r="F273">
        <v>23.6</v>
      </c>
      <c r="G273">
        <v>7.1</v>
      </c>
      <c r="H273">
        <v>3.92</v>
      </c>
      <c r="I273">
        <v>8</v>
      </c>
      <c r="J273">
        <v>84</v>
      </c>
      <c r="K273">
        <f>AVERAGE(1.9,2.04)</f>
        <v>1.97</v>
      </c>
    </row>
    <row r="274" spans="1:11" x14ac:dyDescent="0.25">
      <c r="A274" s="1">
        <v>45240</v>
      </c>
      <c r="B274" t="s">
        <v>9</v>
      </c>
      <c r="C274" t="s">
        <v>261</v>
      </c>
      <c r="D274" t="s">
        <v>69</v>
      </c>
      <c r="E274" s="2">
        <v>0.40347222222222223</v>
      </c>
      <c r="F274">
        <v>23.6</v>
      </c>
      <c r="G274">
        <v>7.4</v>
      </c>
      <c r="H274">
        <v>3.79</v>
      </c>
      <c r="I274">
        <v>9</v>
      </c>
      <c r="J274">
        <v>91</v>
      </c>
    </row>
    <row r="275" spans="1:11" x14ac:dyDescent="0.25">
      <c r="A275" s="1">
        <v>45240</v>
      </c>
      <c r="B275" t="s">
        <v>9</v>
      </c>
      <c r="C275" t="s">
        <v>261</v>
      </c>
      <c r="D275" t="s">
        <v>70</v>
      </c>
      <c r="E275" s="2">
        <v>0.40416666666666662</v>
      </c>
      <c r="F275">
        <v>23.7</v>
      </c>
      <c r="G275">
        <v>11</v>
      </c>
      <c r="H275">
        <v>3.71</v>
      </c>
      <c r="I275">
        <v>8</v>
      </c>
      <c r="J275">
        <v>92</v>
      </c>
    </row>
    <row r="276" spans="1:11" x14ac:dyDescent="0.25">
      <c r="A276" s="1">
        <v>45245</v>
      </c>
      <c r="B276" t="s">
        <v>9</v>
      </c>
      <c r="C276" t="s">
        <v>261</v>
      </c>
      <c r="D276" t="s">
        <v>70</v>
      </c>
      <c r="E276" s="2">
        <v>0.59166666666666667</v>
      </c>
      <c r="F276">
        <v>23.9</v>
      </c>
      <c r="G276">
        <v>35.6</v>
      </c>
      <c r="H276">
        <v>3.81</v>
      </c>
      <c r="I276">
        <v>9</v>
      </c>
      <c r="J276">
        <v>95</v>
      </c>
    </row>
    <row r="277" spans="1:11" x14ac:dyDescent="0.25">
      <c r="A277" s="1">
        <v>45245</v>
      </c>
      <c r="B277" t="s">
        <v>9</v>
      </c>
      <c r="C277" t="s">
        <v>261</v>
      </c>
      <c r="D277" t="s">
        <v>69</v>
      </c>
      <c r="E277" s="2">
        <v>0.59236111111111112</v>
      </c>
      <c r="F277">
        <v>23.9</v>
      </c>
      <c r="G277">
        <v>34.1</v>
      </c>
      <c r="H277">
        <v>3.84</v>
      </c>
      <c r="I277">
        <v>9</v>
      </c>
      <c r="J277">
        <v>96</v>
      </c>
    </row>
    <row r="278" spans="1:11" x14ac:dyDescent="0.25">
      <c r="A278" s="1">
        <v>45245</v>
      </c>
      <c r="B278" t="s">
        <v>9</v>
      </c>
      <c r="C278" t="s">
        <v>261</v>
      </c>
      <c r="D278" t="s">
        <v>68</v>
      </c>
      <c r="E278" s="2">
        <v>0.59305555555555556</v>
      </c>
      <c r="F278">
        <v>23.7</v>
      </c>
      <c r="G278">
        <v>22.5</v>
      </c>
      <c r="H278">
        <v>3.84</v>
      </c>
      <c r="I278">
        <v>9</v>
      </c>
      <c r="J278">
        <v>93</v>
      </c>
      <c r="K278">
        <v>1.6</v>
      </c>
    </row>
    <row r="279" spans="1:11" x14ac:dyDescent="0.25">
      <c r="A279" s="1">
        <v>45247</v>
      </c>
      <c r="B279" t="s">
        <v>9</v>
      </c>
      <c r="C279" t="s">
        <v>261</v>
      </c>
      <c r="D279" t="s">
        <v>68</v>
      </c>
      <c r="E279" s="2">
        <v>0.44722222222222219</v>
      </c>
      <c r="F279">
        <v>22.9</v>
      </c>
      <c r="G279">
        <v>20.3</v>
      </c>
      <c r="H279">
        <v>4.37</v>
      </c>
      <c r="I279">
        <v>9</v>
      </c>
      <c r="J279">
        <v>100</v>
      </c>
      <c r="K279">
        <f>AVERAGE(1.72,1.56)</f>
        <v>1.6400000000000001</v>
      </c>
    </row>
    <row r="280" spans="1:11" x14ac:dyDescent="0.25">
      <c r="A280" s="1">
        <v>45247</v>
      </c>
      <c r="B280" t="s">
        <v>9</v>
      </c>
      <c r="C280" t="s">
        <v>261</v>
      </c>
      <c r="D280" t="s">
        <v>69</v>
      </c>
      <c r="E280" s="2">
        <v>0.4465277777777778</v>
      </c>
      <c r="F280">
        <v>22.8</v>
      </c>
      <c r="G280">
        <v>28.7</v>
      </c>
      <c r="H280">
        <v>4.4400000000000004</v>
      </c>
      <c r="I280">
        <v>9</v>
      </c>
      <c r="J280">
        <v>103</v>
      </c>
    </row>
    <row r="281" spans="1:11" x14ac:dyDescent="0.25">
      <c r="A281" s="1">
        <v>45247</v>
      </c>
      <c r="B281" t="s">
        <v>9</v>
      </c>
      <c r="C281" t="s">
        <v>261</v>
      </c>
      <c r="D281" t="s">
        <v>70</v>
      </c>
      <c r="E281" s="2">
        <v>0.4458333333333333</v>
      </c>
      <c r="F281">
        <v>22.8</v>
      </c>
      <c r="G281">
        <v>30.1</v>
      </c>
      <c r="H281">
        <v>4.0599999999999996</v>
      </c>
      <c r="I281">
        <v>9</v>
      </c>
      <c r="J281">
        <v>104</v>
      </c>
    </row>
    <row r="282" spans="1:11" x14ac:dyDescent="0.25">
      <c r="A282" s="1">
        <v>45252</v>
      </c>
      <c r="B282" t="s">
        <v>9</v>
      </c>
      <c r="C282" t="s">
        <v>261</v>
      </c>
      <c r="D282" t="s">
        <v>68</v>
      </c>
      <c r="E282" s="2">
        <v>0.64583333333333337</v>
      </c>
      <c r="F282">
        <v>26.1</v>
      </c>
      <c r="G282">
        <v>35.4</v>
      </c>
      <c r="H282">
        <v>4.74</v>
      </c>
      <c r="I282">
        <v>9</v>
      </c>
      <c r="J282">
        <v>99</v>
      </c>
      <c r="K282">
        <f>AVERAGE(1.36,1.27)</f>
        <v>1.3149999999999999</v>
      </c>
    </row>
    <row r="283" spans="1:11" x14ac:dyDescent="0.25">
      <c r="A283" s="1">
        <v>45252</v>
      </c>
      <c r="B283" t="s">
        <v>9</v>
      </c>
      <c r="C283" t="s">
        <v>261</v>
      </c>
      <c r="D283" t="s">
        <v>69</v>
      </c>
      <c r="E283" s="2">
        <v>0.6479166666666667</v>
      </c>
      <c r="F283">
        <v>26.7</v>
      </c>
      <c r="G283">
        <v>65</v>
      </c>
      <c r="H283">
        <v>4.0599999999999996</v>
      </c>
      <c r="I283">
        <v>9</v>
      </c>
      <c r="J283">
        <v>100</v>
      </c>
    </row>
    <row r="284" spans="1:11" x14ac:dyDescent="0.25">
      <c r="A284" s="1">
        <v>45252</v>
      </c>
      <c r="B284" t="s">
        <v>9</v>
      </c>
      <c r="C284" t="s">
        <v>261</v>
      </c>
      <c r="D284" t="s">
        <v>70</v>
      </c>
      <c r="E284" s="2">
        <v>0.64861111111111114</v>
      </c>
      <c r="F284">
        <v>26.8</v>
      </c>
      <c r="G284">
        <v>65.2</v>
      </c>
      <c r="H284">
        <v>4.03</v>
      </c>
      <c r="I284">
        <v>9</v>
      </c>
      <c r="J284">
        <v>90</v>
      </c>
    </row>
    <row r="285" spans="1:11" x14ac:dyDescent="0.25">
      <c r="A285" s="1">
        <v>45254</v>
      </c>
      <c r="B285" t="s">
        <v>9</v>
      </c>
      <c r="C285" t="s">
        <v>261</v>
      </c>
      <c r="D285" t="s">
        <v>68</v>
      </c>
      <c r="E285" s="2">
        <v>0.46527777777777773</v>
      </c>
      <c r="F285">
        <v>24.5</v>
      </c>
      <c r="G285">
        <v>17.8</v>
      </c>
      <c r="H285">
        <v>4.3899999999999997</v>
      </c>
      <c r="I285">
        <v>9</v>
      </c>
      <c r="J285">
        <v>100</v>
      </c>
      <c r="K285">
        <v>1.22</v>
      </c>
    </row>
    <row r="286" spans="1:11" x14ac:dyDescent="0.25">
      <c r="A286" s="1">
        <v>45254</v>
      </c>
      <c r="B286" t="s">
        <v>9</v>
      </c>
      <c r="C286" t="s">
        <v>261</v>
      </c>
      <c r="D286" t="s">
        <v>69</v>
      </c>
      <c r="E286" s="2">
        <v>0.46666666666666662</v>
      </c>
      <c r="F286">
        <v>24.4</v>
      </c>
      <c r="G286">
        <v>25</v>
      </c>
      <c r="H286">
        <v>4.33</v>
      </c>
      <c r="I286">
        <v>9</v>
      </c>
      <c r="J286">
        <v>110</v>
      </c>
    </row>
    <row r="287" spans="1:11" x14ac:dyDescent="0.25">
      <c r="A287" s="1">
        <v>45254</v>
      </c>
      <c r="B287" t="s">
        <v>9</v>
      </c>
      <c r="C287" t="s">
        <v>261</v>
      </c>
      <c r="D287" t="s">
        <v>70</v>
      </c>
      <c r="E287" s="2">
        <v>0.46736111111111112</v>
      </c>
      <c r="F287">
        <v>24.4</v>
      </c>
      <c r="G287">
        <v>31.6</v>
      </c>
      <c r="H287">
        <v>4.33</v>
      </c>
      <c r="I287">
        <v>9</v>
      </c>
      <c r="J287">
        <v>107</v>
      </c>
    </row>
    <row r="288" spans="1:11" x14ac:dyDescent="0.25">
      <c r="A288" s="1">
        <v>45257</v>
      </c>
      <c r="B288" t="s">
        <v>9</v>
      </c>
      <c r="C288" t="s">
        <v>261</v>
      </c>
      <c r="D288" t="s">
        <v>68</v>
      </c>
      <c r="E288" s="2">
        <v>0.57013888888888886</v>
      </c>
      <c r="F288">
        <v>26.3</v>
      </c>
      <c r="G288">
        <v>44.2</v>
      </c>
      <c r="H288">
        <v>4.4800000000000004</v>
      </c>
      <c r="I288">
        <v>10</v>
      </c>
      <c r="J288">
        <v>100</v>
      </c>
      <c r="K288">
        <f>AVERAGE(1.08,1.4)</f>
        <v>1.24</v>
      </c>
    </row>
    <row r="289" spans="1:11" x14ac:dyDescent="0.25">
      <c r="A289" s="1">
        <v>45257</v>
      </c>
      <c r="B289" t="s">
        <v>9</v>
      </c>
      <c r="C289" t="s">
        <v>261</v>
      </c>
      <c r="D289" t="s">
        <v>69</v>
      </c>
      <c r="E289" s="2">
        <v>0.57013888888888886</v>
      </c>
      <c r="F289">
        <v>27.1</v>
      </c>
      <c r="G289">
        <v>54.9</v>
      </c>
      <c r="H289">
        <v>4.46</v>
      </c>
      <c r="I289">
        <v>10</v>
      </c>
      <c r="J289">
        <v>106</v>
      </c>
    </row>
    <row r="290" spans="1:11" x14ac:dyDescent="0.25">
      <c r="A290" s="1">
        <v>45257</v>
      </c>
      <c r="B290" t="s">
        <v>9</v>
      </c>
      <c r="C290" t="s">
        <v>261</v>
      </c>
      <c r="D290" t="s">
        <v>70</v>
      </c>
      <c r="E290" s="2">
        <v>0.57013888888888886</v>
      </c>
      <c r="F290">
        <v>27.2</v>
      </c>
      <c r="G290">
        <v>57.9</v>
      </c>
      <c r="H290">
        <v>4.4800000000000004</v>
      </c>
      <c r="I290">
        <v>9</v>
      </c>
      <c r="J290">
        <v>112</v>
      </c>
    </row>
    <row r="291" spans="1:11" x14ac:dyDescent="0.25">
      <c r="A291" s="1">
        <v>45259</v>
      </c>
      <c r="B291" t="s">
        <v>9</v>
      </c>
      <c r="C291" t="s">
        <v>261</v>
      </c>
      <c r="D291" t="s">
        <v>68</v>
      </c>
      <c r="E291" s="2">
        <v>0.39097222222222222</v>
      </c>
      <c r="F291">
        <v>23.3</v>
      </c>
      <c r="G291">
        <v>4.7</v>
      </c>
      <c r="H291">
        <v>3.23</v>
      </c>
      <c r="I291">
        <v>10</v>
      </c>
      <c r="J291">
        <v>106</v>
      </c>
      <c r="K291">
        <v>1.7</v>
      </c>
    </row>
    <row r="292" spans="1:11" x14ac:dyDescent="0.25">
      <c r="A292" s="1">
        <v>45259</v>
      </c>
      <c r="B292" t="s">
        <v>9</v>
      </c>
      <c r="C292" t="s">
        <v>261</v>
      </c>
      <c r="D292" t="s">
        <v>69</v>
      </c>
      <c r="E292" s="2">
        <v>0.39097222222222222</v>
      </c>
      <c r="F292">
        <v>23.3</v>
      </c>
      <c r="G292">
        <v>5.9</v>
      </c>
      <c r="H292">
        <v>3.24</v>
      </c>
      <c r="I292">
        <v>10</v>
      </c>
      <c r="J292">
        <v>108</v>
      </c>
    </row>
    <row r="293" spans="1:11" x14ac:dyDescent="0.25">
      <c r="A293" s="1">
        <v>45259</v>
      </c>
      <c r="B293" t="s">
        <v>9</v>
      </c>
      <c r="C293" t="s">
        <v>261</v>
      </c>
      <c r="D293" t="s">
        <v>70</v>
      </c>
      <c r="E293" s="2">
        <v>0.39166666666666666</v>
      </c>
      <c r="F293">
        <v>23.4</v>
      </c>
      <c r="G293">
        <v>5.6</v>
      </c>
      <c r="H293">
        <v>3.22</v>
      </c>
      <c r="I293">
        <v>11</v>
      </c>
      <c r="J293">
        <v>112</v>
      </c>
    </row>
    <row r="294" spans="1:11" x14ac:dyDescent="0.25">
      <c r="A294" s="1">
        <v>45217</v>
      </c>
      <c r="B294" t="s">
        <v>9</v>
      </c>
      <c r="C294" t="s">
        <v>85</v>
      </c>
      <c r="D294" t="s">
        <v>65</v>
      </c>
      <c r="E294" s="2">
        <v>0.59652777777777777</v>
      </c>
      <c r="F294">
        <v>28</v>
      </c>
      <c r="G294">
        <v>22.7</v>
      </c>
      <c r="H294">
        <v>3.82</v>
      </c>
      <c r="I294">
        <v>8</v>
      </c>
      <c r="J294">
        <v>38</v>
      </c>
      <c r="K294">
        <f>AVERAGE(3.29,5.88)</f>
        <v>4.585</v>
      </c>
    </row>
    <row r="295" spans="1:11" x14ac:dyDescent="0.25">
      <c r="A295" s="1">
        <v>45217</v>
      </c>
      <c r="B295" t="s">
        <v>9</v>
      </c>
      <c r="C295" t="s">
        <v>85</v>
      </c>
      <c r="D295" t="s">
        <v>67</v>
      </c>
      <c r="E295" s="2">
        <v>0.59652777777777777</v>
      </c>
      <c r="F295">
        <v>27.6</v>
      </c>
      <c r="G295">
        <v>23.8</v>
      </c>
      <c r="H295">
        <v>3.31</v>
      </c>
      <c r="I295">
        <v>8</v>
      </c>
      <c r="J295">
        <v>28</v>
      </c>
    </row>
    <row r="296" spans="1:11" x14ac:dyDescent="0.25">
      <c r="A296" s="1">
        <v>45219</v>
      </c>
      <c r="B296" t="s">
        <v>9</v>
      </c>
      <c r="C296" t="s">
        <v>85</v>
      </c>
      <c r="D296" t="s">
        <v>65</v>
      </c>
      <c r="E296" s="2">
        <v>0.37916666666666665</v>
      </c>
      <c r="F296">
        <v>22</v>
      </c>
      <c r="G296">
        <v>10.5</v>
      </c>
      <c r="H296">
        <v>3.62</v>
      </c>
      <c r="I296">
        <v>8</v>
      </c>
      <c r="J296">
        <v>51</v>
      </c>
      <c r="K296">
        <f>AVERAGE(2.99,2.88)</f>
        <v>2.9350000000000001</v>
      </c>
    </row>
    <row r="297" spans="1:11" x14ac:dyDescent="0.25">
      <c r="A297" s="1">
        <v>45219</v>
      </c>
      <c r="B297" t="s">
        <v>9</v>
      </c>
      <c r="C297" t="s">
        <v>85</v>
      </c>
      <c r="D297" t="s">
        <v>66</v>
      </c>
      <c r="E297" s="2">
        <v>0.37916666666666665</v>
      </c>
      <c r="F297">
        <v>22.1</v>
      </c>
      <c r="G297" s="4">
        <v>10.4</v>
      </c>
      <c r="H297">
        <v>3.62</v>
      </c>
      <c r="I297">
        <v>8</v>
      </c>
      <c r="J297">
        <v>33</v>
      </c>
    </row>
    <row r="298" spans="1:11" x14ac:dyDescent="0.25">
      <c r="A298" s="1">
        <v>45219</v>
      </c>
      <c r="B298" t="s">
        <v>9</v>
      </c>
      <c r="C298" t="s">
        <v>85</v>
      </c>
      <c r="D298" t="s">
        <v>67</v>
      </c>
      <c r="E298" s="2">
        <v>0.37916666666666665</v>
      </c>
      <c r="F298">
        <v>22.2</v>
      </c>
      <c r="G298">
        <v>10.6</v>
      </c>
      <c r="H298">
        <v>3.5</v>
      </c>
      <c r="I298">
        <v>8</v>
      </c>
      <c r="J298">
        <v>37</v>
      </c>
    </row>
    <row r="299" spans="1:11" x14ac:dyDescent="0.25">
      <c r="A299" s="1">
        <v>45224</v>
      </c>
      <c r="B299" t="s">
        <v>9</v>
      </c>
      <c r="C299" t="s">
        <v>85</v>
      </c>
      <c r="D299" t="s">
        <v>111</v>
      </c>
      <c r="E299" s="2">
        <v>0.57916666666666672</v>
      </c>
      <c r="F299">
        <v>24.6</v>
      </c>
      <c r="G299">
        <v>14.9</v>
      </c>
      <c r="H299">
        <v>3.62</v>
      </c>
      <c r="I299">
        <v>8</v>
      </c>
      <c r="J299">
        <v>40</v>
      </c>
      <c r="K299">
        <f>AVERAGE(1.3,1.66)</f>
        <v>1.48</v>
      </c>
    </row>
    <row r="300" spans="1:11" x14ac:dyDescent="0.25">
      <c r="A300" s="1">
        <v>45224</v>
      </c>
      <c r="B300" t="s">
        <v>9</v>
      </c>
      <c r="C300" t="s">
        <v>85</v>
      </c>
      <c r="D300" t="s">
        <v>112</v>
      </c>
      <c r="E300" s="2">
        <v>0.57986111111111105</v>
      </c>
      <c r="F300">
        <v>24.6</v>
      </c>
      <c r="G300">
        <v>15</v>
      </c>
      <c r="H300">
        <v>3.67</v>
      </c>
      <c r="I300">
        <v>8</v>
      </c>
      <c r="J300">
        <v>33</v>
      </c>
    </row>
    <row r="301" spans="1:11" x14ac:dyDescent="0.25">
      <c r="A301" s="1">
        <v>45224</v>
      </c>
      <c r="B301" t="s">
        <v>9</v>
      </c>
      <c r="C301" t="s">
        <v>85</v>
      </c>
      <c r="D301" t="s">
        <v>113</v>
      </c>
      <c r="E301" s="2">
        <v>0.5805555555555556</v>
      </c>
      <c r="F301">
        <v>24.6</v>
      </c>
      <c r="G301">
        <v>15</v>
      </c>
      <c r="H301">
        <v>3.64</v>
      </c>
      <c r="I301">
        <v>7</v>
      </c>
      <c r="J301">
        <v>30</v>
      </c>
    </row>
    <row r="302" spans="1:11" x14ac:dyDescent="0.25">
      <c r="A302" s="1">
        <v>45226</v>
      </c>
      <c r="B302" t="s">
        <v>9</v>
      </c>
      <c r="C302" t="s">
        <v>85</v>
      </c>
      <c r="D302" t="s">
        <v>111</v>
      </c>
      <c r="E302" s="2">
        <v>0.4069444444444445</v>
      </c>
      <c r="F302">
        <v>25.3</v>
      </c>
      <c r="G302">
        <v>15.1</v>
      </c>
      <c r="H302">
        <v>4.42</v>
      </c>
      <c r="I302">
        <v>8</v>
      </c>
      <c r="J302">
        <v>43</v>
      </c>
      <c r="K302">
        <f>AVERAGE(1.36,2.11)</f>
        <v>1.7349999999999999</v>
      </c>
    </row>
    <row r="303" spans="1:11" x14ac:dyDescent="0.25">
      <c r="A303" s="1">
        <v>45226</v>
      </c>
      <c r="B303" t="s">
        <v>9</v>
      </c>
      <c r="C303" t="s">
        <v>85</v>
      </c>
      <c r="D303" t="s">
        <v>112</v>
      </c>
      <c r="E303" s="2">
        <v>0.40833333333333338</v>
      </c>
      <c r="F303">
        <v>25</v>
      </c>
      <c r="G303">
        <v>14.9</v>
      </c>
      <c r="H303">
        <v>4.21</v>
      </c>
      <c r="I303">
        <v>9</v>
      </c>
      <c r="J303">
        <v>26</v>
      </c>
    </row>
    <row r="304" spans="1:11" x14ac:dyDescent="0.25">
      <c r="A304" s="1">
        <v>45226</v>
      </c>
      <c r="B304" t="s">
        <v>9</v>
      </c>
      <c r="C304" t="s">
        <v>85</v>
      </c>
      <c r="D304" t="s">
        <v>113</v>
      </c>
      <c r="E304" s="2">
        <v>0.40833333333333338</v>
      </c>
      <c r="F304">
        <v>24.8</v>
      </c>
      <c r="G304">
        <v>14.9</v>
      </c>
      <c r="H304">
        <v>3.95</v>
      </c>
      <c r="I304">
        <v>9</v>
      </c>
      <c r="J304">
        <v>33</v>
      </c>
    </row>
    <row r="305" spans="1:11" x14ac:dyDescent="0.25">
      <c r="A305" s="1">
        <v>45231</v>
      </c>
      <c r="B305" t="s">
        <v>9</v>
      </c>
      <c r="C305" t="s">
        <v>85</v>
      </c>
      <c r="D305" t="s">
        <v>111</v>
      </c>
      <c r="E305" s="2">
        <v>0.54027777777777775</v>
      </c>
      <c r="F305">
        <v>25.3</v>
      </c>
      <c r="G305">
        <v>17</v>
      </c>
      <c r="H305">
        <v>4.08</v>
      </c>
      <c r="I305">
        <v>8</v>
      </c>
      <c r="J305">
        <v>51</v>
      </c>
      <c r="K305">
        <f>AVERAGE(1.32,3.16)</f>
        <v>2.2400000000000002</v>
      </c>
    </row>
    <row r="306" spans="1:11" x14ac:dyDescent="0.25">
      <c r="A306" s="1">
        <v>45231</v>
      </c>
      <c r="B306" t="s">
        <v>9</v>
      </c>
      <c r="C306" t="s">
        <v>85</v>
      </c>
      <c r="D306" t="s">
        <v>112</v>
      </c>
      <c r="E306" s="2">
        <v>0.54097222222222219</v>
      </c>
      <c r="F306">
        <v>25</v>
      </c>
      <c r="G306">
        <v>16.600000000000001</v>
      </c>
      <c r="H306">
        <v>3.54</v>
      </c>
      <c r="I306">
        <v>8</v>
      </c>
      <c r="J306">
        <v>36</v>
      </c>
    </row>
    <row r="307" spans="1:11" x14ac:dyDescent="0.25">
      <c r="A307" s="1">
        <v>45231</v>
      </c>
      <c r="B307" t="s">
        <v>9</v>
      </c>
      <c r="C307" t="s">
        <v>85</v>
      </c>
      <c r="D307" t="s">
        <v>113</v>
      </c>
      <c r="E307" s="2">
        <v>0.54236111111111118</v>
      </c>
      <c r="F307">
        <v>24.8</v>
      </c>
      <c r="G307">
        <v>16.600000000000001</v>
      </c>
      <c r="H307">
        <v>3.44</v>
      </c>
      <c r="I307">
        <v>8</v>
      </c>
      <c r="J307">
        <v>34</v>
      </c>
    </row>
    <row r="308" spans="1:11" x14ac:dyDescent="0.25">
      <c r="A308" s="1">
        <v>45233</v>
      </c>
      <c r="B308" t="s">
        <v>9</v>
      </c>
      <c r="C308" t="s">
        <v>85</v>
      </c>
      <c r="D308" t="s">
        <v>111</v>
      </c>
      <c r="E308" s="2">
        <v>0.37986111111111115</v>
      </c>
      <c r="F308">
        <v>22.5</v>
      </c>
      <c r="G308">
        <v>10.6</v>
      </c>
      <c r="H308">
        <v>3.97</v>
      </c>
      <c r="I308">
        <v>8</v>
      </c>
      <c r="J308">
        <v>52</v>
      </c>
      <c r="K308">
        <f>AVERAGE(4.7,4.21)</f>
        <v>4.4550000000000001</v>
      </c>
    </row>
    <row r="309" spans="1:11" x14ac:dyDescent="0.25">
      <c r="A309" s="1">
        <v>45233</v>
      </c>
      <c r="B309" t="s">
        <v>9</v>
      </c>
      <c r="C309" t="s">
        <v>85</v>
      </c>
      <c r="D309" t="s">
        <v>112</v>
      </c>
      <c r="E309" s="2">
        <v>0.38055555555555554</v>
      </c>
      <c r="F309">
        <v>22.5</v>
      </c>
      <c r="G309">
        <v>10.3</v>
      </c>
      <c r="H309">
        <v>3.99</v>
      </c>
      <c r="I309">
        <v>8</v>
      </c>
      <c r="J309">
        <v>33</v>
      </c>
    </row>
    <row r="310" spans="1:11" x14ac:dyDescent="0.25">
      <c r="A310" s="1">
        <v>45233</v>
      </c>
      <c r="B310" t="s">
        <v>9</v>
      </c>
      <c r="C310" t="s">
        <v>85</v>
      </c>
      <c r="D310" t="s">
        <v>113</v>
      </c>
      <c r="E310" s="2">
        <v>0.38125000000000003</v>
      </c>
      <c r="F310">
        <v>22.6</v>
      </c>
      <c r="G310">
        <v>10.199999999999999</v>
      </c>
      <c r="H310">
        <v>4.08</v>
      </c>
      <c r="I310">
        <v>8</v>
      </c>
      <c r="J310">
        <v>33</v>
      </c>
    </row>
    <row r="311" spans="1:11" x14ac:dyDescent="0.25">
      <c r="A311" s="1">
        <v>45238</v>
      </c>
      <c r="B311" t="s">
        <v>9</v>
      </c>
      <c r="C311" t="s">
        <v>85</v>
      </c>
      <c r="D311" t="s">
        <v>111</v>
      </c>
      <c r="E311" s="2">
        <v>0.52847222222222223</v>
      </c>
      <c r="F311">
        <v>22.9</v>
      </c>
      <c r="G311">
        <v>22.8</v>
      </c>
      <c r="H311">
        <v>3.77</v>
      </c>
      <c r="I311">
        <v>8</v>
      </c>
      <c r="J311">
        <v>57</v>
      </c>
      <c r="K311">
        <f>AVERAGE(1.85,2.6)</f>
        <v>2.2250000000000001</v>
      </c>
    </row>
    <row r="312" spans="1:11" x14ac:dyDescent="0.25">
      <c r="A312" s="1">
        <v>45238</v>
      </c>
      <c r="B312" t="s">
        <v>9</v>
      </c>
      <c r="C312" t="s">
        <v>85</v>
      </c>
      <c r="D312" t="s">
        <v>112</v>
      </c>
      <c r="E312" s="2">
        <v>0.52916666666666667</v>
      </c>
      <c r="F312">
        <v>22.9</v>
      </c>
      <c r="G312">
        <v>21.3</v>
      </c>
      <c r="H312">
        <v>3.82</v>
      </c>
      <c r="I312">
        <v>8</v>
      </c>
      <c r="J312">
        <v>44</v>
      </c>
    </row>
    <row r="313" spans="1:11" x14ac:dyDescent="0.25">
      <c r="A313" s="1">
        <v>45238</v>
      </c>
      <c r="B313" t="s">
        <v>9</v>
      </c>
      <c r="C313" t="s">
        <v>85</v>
      </c>
      <c r="D313" t="s">
        <v>113</v>
      </c>
      <c r="E313" s="2">
        <v>0.52916666666666667</v>
      </c>
      <c r="F313">
        <v>22.8</v>
      </c>
      <c r="G313">
        <v>21.4</v>
      </c>
      <c r="H313">
        <v>3.83</v>
      </c>
      <c r="I313">
        <v>8</v>
      </c>
      <c r="J313">
        <v>31</v>
      </c>
    </row>
    <row r="314" spans="1:11" x14ac:dyDescent="0.25">
      <c r="A314" s="1">
        <v>45240</v>
      </c>
      <c r="B314" t="s">
        <v>9</v>
      </c>
      <c r="C314" t="s">
        <v>85</v>
      </c>
      <c r="D314" t="s">
        <v>111</v>
      </c>
      <c r="E314" s="2">
        <v>0.3923611111111111</v>
      </c>
      <c r="F314">
        <v>23.6</v>
      </c>
      <c r="G314">
        <v>13.9</v>
      </c>
      <c r="H314">
        <v>3.84</v>
      </c>
      <c r="I314">
        <v>8</v>
      </c>
      <c r="J314">
        <v>67</v>
      </c>
      <c r="K314">
        <f>AVERAGE(6.65,7.9)</f>
        <v>7.2750000000000004</v>
      </c>
    </row>
    <row r="315" spans="1:11" x14ac:dyDescent="0.25">
      <c r="A315" s="1">
        <v>45240</v>
      </c>
      <c r="B315" t="s">
        <v>9</v>
      </c>
      <c r="C315" t="s">
        <v>85</v>
      </c>
      <c r="D315" t="s">
        <v>112</v>
      </c>
      <c r="E315" s="2">
        <v>0.39374999999999999</v>
      </c>
      <c r="F315">
        <v>23.5</v>
      </c>
      <c r="G315">
        <v>12.2</v>
      </c>
      <c r="H315">
        <v>3.52</v>
      </c>
      <c r="I315">
        <v>8</v>
      </c>
      <c r="J315">
        <v>44</v>
      </c>
    </row>
    <row r="316" spans="1:11" x14ac:dyDescent="0.25">
      <c r="A316" s="1">
        <v>45240</v>
      </c>
      <c r="B316" t="s">
        <v>9</v>
      </c>
      <c r="C316" t="s">
        <v>85</v>
      </c>
      <c r="D316" t="s">
        <v>113</v>
      </c>
      <c r="E316" s="2">
        <v>0.39444444444444443</v>
      </c>
      <c r="F316">
        <v>23.5</v>
      </c>
      <c r="G316">
        <v>12</v>
      </c>
      <c r="H316">
        <v>3.57</v>
      </c>
      <c r="I316">
        <v>8</v>
      </c>
      <c r="J316">
        <v>49</v>
      </c>
    </row>
    <row r="317" spans="1:11" x14ac:dyDescent="0.25">
      <c r="A317" s="1">
        <v>45245</v>
      </c>
      <c r="B317" t="s">
        <v>9</v>
      </c>
      <c r="C317" t="s">
        <v>85</v>
      </c>
      <c r="D317" t="s">
        <v>111</v>
      </c>
      <c r="E317" s="2">
        <v>0.58819444444444446</v>
      </c>
      <c r="F317">
        <v>23.9</v>
      </c>
      <c r="G317">
        <v>24.8</v>
      </c>
      <c r="H317">
        <v>3.72</v>
      </c>
      <c r="I317">
        <v>9</v>
      </c>
      <c r="J317">
        <v>65</v>
      </c>
      <c r="K317">
        <f>AVERAGE(0.84,0.84)</f>
        <v>0.84</v>
      </c>
    </row>
    <row r="318" spans="1:11" x14ac:dyDescent="0.25">
      <c r="A318" s="1">
        <v>45245</v>
      </c>
      <c r="B318" t="s">
        <v>9</v>
      </c>
      <c r="C318" t="s">
        <v>85</v>
      </c>
      <c r="D318" t="s">
        <v>112</v>
      </c>
      <c r="E318" s="2">
        <v>0.58888888888888891</v>
      </c>
      <c r="F318">
        <v>23.9</v>
      </c>
      <c r="G318">
        <v>24.6</v>
      </c>
      <c r="H318">
        <v>3.76</v>
      </c>
      <c r="I318">
        <v>9</v>
      </c>
      <c r="J318">
        <v>65</v>
      </c>
    </row>
    <row r="319" spans="1:11" x14ac:dyDescent="0.25">
      <c r="A319" s="1">
        <v>45245</v>
      </c>
      <c r="B319" t="s">
        <v>9</v>
      </c>
      <c r="C319" t="s">
        <v>85</v>
      </c>
      <c r="D319" t="s">
        <v>113</v>
      </c>
      <c r="E319" s="2">
        <v>0.58958333333333335</v>
      </c>
      <c r="F319">
        <v>23.8</v>
      </c>
      <c r="G319">
        <v>25.1</v>
      </c>
      <c r="H319">
        <v>3.79</v>
      </c>
      <c r="I319">
        <v>9</v>
      </c>
      <c r="J319">
        <v>63</v>
      </c>
    </row>
    <row r="320" spans="1:11" x14ac:dyDescent="0.25">
      <c r="A320" s="1">
        <v>45247</v>
      </c>
      <c r="B320" t="s">
        <v>9</v>
      </c>
      <c r="C320" t="s">
        <v>85</v>
      </c>
      <c r="D320" t="s">
        <v>111</v>
      </c>
      <c r="E320" s="2">
        <v>0.43958333333333338</v>
      </c>
      <c r="F320">
        <v>22.8</v>
      </c>
      <c r="G320">
        <v>24.8</v>
      </c>
      <c r="H320">
        <v>4.2699999999999996</v>
      </c>
      <c r="I320">
        <v>9</v>
      </c>
      <c r="J320">
        <v>77</v>
      </c>
      <c r="K320">
        <f>AVERAGE(1.6,1.29)</f>
        <v>1.4450000000000001</v>
      </c>
    </row>
    <row r="321" spans="1:11" x14ac:dyDescent="0.25">
      <c r="A321" s="1">
        <v>45247</v>
      </c>
      <c r="B321" t="s">
        <v>9</v>
      </c>
      <c r="C321" t="s">
        <v>85</v>
      </c>
      <c r="D321" t="s">
        <v>112</v>
      </c>
      <c r="E321" s="2">
        <v>0.43958333333333338</v>
      </c>
      <c r="F321">
        <v>22.8</v>
      </c>
      <c r="G321">
        <v>24.6</v>
      </c>
      <c r="H321">
        <v>4.37</v>
      </c>
      <c r="I321">
        <v>9</v>
      </c>
      <c r="J321">
        <v>67</v>
      </c>
    </row>
    <row r="322" spans="1:11" x14ac:dyDescent="0.25">
      <c r="A322" s="1">
        <v>45247</v>
      </c>
      <c r="B322" t="s">
        <v>9</v>
      </c>
      <c r="C322" t="s">
        <v>85</v>
      </c>
      <c r="D322" t="s">
        <v>113</v>
      </c>
      <c r="E322" s="2">
        <v>0.44027777777777777</v>
      </c>
      <c r="F322">
        <v>22.8</v>
      </c>
      <c r="G322">
        <v>24.9</v>
      </c>
      <c r="H322">
        <v>4.42</v>
      </c>
      <c r="I322">
        <v>9</v>
      </c>
      <c r="J322">
        <v>73</v>
      </c>
    </row>
    <row r="323" spans="1:11" x14ac:dyDescent="0.25">
      <c r="A323" s="1">
        <v>45252</v>
      </c>
      <c r="B323" t="s">
        <v>9</v>
      </c>
      <c r="C323" t="s">
        <v>85</v>
      </c>
      <c r="D323" t="s">
        <v>111</v>
      </c>
      <c r="E323" s="2">
        <v>0.67083333333333339</v>
      </c>
      <c r="F323">
        <v>26.3</v>
      </c>
      <c r="G323">
        <v>39.4</v>
      </c>
      <c r="H323">
        <v>4.3499999999999996</v>
      </c>
      <c r="I323">
        <v>9</v>
      </c>
      <c r="J323">
        <v>66</v>
      </c>
      <c r="K323">
        <f>AVERAGE(1.11,1.15)</f>
        <v>1.1299999999999999</v>
      </c>
    </row>
    <row r="324" spans="1:11" x14ac:dyDescent="0.25">
      <c r="A324" s="1">
        <v>45252</v>
      </c>
      <c r="B324" t="s">
        <v>9</v>
      </c>
      <c r="C324" t="s">
        <v>85</v>
      </c>
      <c r="D324" t="s">
        <v>112</v>
      </c>
      <c r="E324" s="2">
        <v>0.62986111111111109</v>
      </c>
      <c r="F324">
        <v>26</v>
      </c>
      <c r="G324">
        <v>39.9</v>
      </c>
      <c r="H324">
        <v>4.21</v>
      </c>
      <c r="I324">
        <v>9</v>
      </c>
      <c r="J324">
        <v>84</v>
      </c>
    </row>
    <row r="325" spans="1:11" x14ac:dyDescent="0.25">
      <c r="A325" s="1">
        <v>45252</v>
      </c>
      <c r="B325" t="s">
        <v>9</v>
      </c>
      <c r="C325" t="s">
        <v>85</v>
      </c>
      <c r="D325" t="s">
        <v>113</v>
      </c>
      <c r="E325" s="2">
        <v>0.63124999999999998</v>
      </c>
      <c r="F325">
        <v>26</v>
      </c>
      <c r="G325">
        <v>40</v>
      </c>
      <c r="H325">
        <v>4.21</v>
      </c>
      <c r="I325">
        <v>9</v>
      </c>
      <c r="J325">
        <v>89</v>
      </c>
    </row>
    <row r="326" spans="1:11" x14ac:dyDescent="0.25">
      <c r="A326" s="1">
        <v>45254</v>
      </c>
      <c r="B326" t="s">
        <v>9</v>
      </c>
      <c r="C326" t="s">
        <v>85</v>
      </c>
      <c r="D326" t="s">
        <v>111</v>
      </c>
      <c r="E326" s="2">
        <v>0.45833333333333331</v>
      </c>
      <c r="F326">
        <v>25</v>
      </c>
      <c r="G326">
        <v>23.5</v>
      </c>
      <c r="H326">
        <v>4.6100000000000003</v>
      </c>
      <c r="I326">
        <v>10</v>
      </c>
      <c r="J326">
        <v>84</v>
      </c>
      <c r="K326">
        <f>AVERAGE(1.76,2.11)</f>
        <v>1.9350000000000001</v>
      </c>
    </row>
    <row r="327" spans="1:11" x14ac:dyDescent="0.25">
      <c r="A327" s="1">
        <v>45254</v>
      </c>
      <c r="B327" t="s">
        <v>9</v>
      </c>
      <c r="C327" t="s">
        <v>85</v>
      </c>
      <c r="D327" t="s">
        <v>112</v>
      </c>
      <c r="E327" s="2">
        <v>0.4597222222222222</v>
      </c>
      <c r="F327">
        <v>24.7</v>
      </c>
      <c r="G327">
        <v>23.8</v>
      </c>
      <c r="H327">
        <v>4.3</v>
      </c>
      <c r="I327">
        <v>10</v>
      </c>
      <c r="J327">
        <v>98</v>
      </c>
    </row>
    <row r="328" spans="1:11" x14ac:dyDescent="0.25">
      <c r="A328" s="1">
        <v>45254</v>
      </c>
      <c r="B328" t="s">
        <v>9</v>
      </c>
      <c r="C328" t="s">
        <v>85</v>
      </c>
      <c r="D328" t="s">
        <v>113</v>
      </c>
      <c r="E328" s="2">
        <v>0.4604166666666667</v>
      </c>
      <c r="F328">
        <v>24.6</v>
      </c>
      <c r="G328">
        <v>23.6</v>
      </c>
      <c r="H328">
        <v>3.8</v>
      </c>
      <c r="I328">
        <v>10</v>
      </c>
      <c r="J328">
        <v>93</v>
      </c>
    </row>
    <row r="329" spans="1:11" x14ac:dyDescent="0.25">
      <c r="A329" s="1">
        <v>45257</v>
      </c>
      <c r="B329" t="s">
        <v>9</v>
      </c>
      <c r="C329" t="s">
        <v>85</v>
      </c>
      <c r="D329" t="s">
        <v>111</v>
      </c>
      <c r="E329" s="2">
        <v>0.55902777777777779</v>
      </c>
      <c r="F329">
        <v>26.6</v>
      </c>
      <c r="G329">
        <v>35.5</v>
      </c>
      <c r="H329">
        <v>4.38</v>
      </c>
      <c r="I329">
        <v>10</v>
      </c>
      <c r="J329">
        <v>84</v>
      </c>
      <c r="K329">
        <f>AVERAGE(2.58,2.1)</f>
        <v>2.34</v>
      </c>
    </row>
    <row r="330" spans="1:11" x14ac:dyDescent="0.25">
      <c r="A330" s="1">
        <v>45257</v>
      </c>
      <c r="B330" t="s">
        <v>9</v>
      </c>
      <c r="C330" t="s">
        <v>85</v>
      </c>
      <c r="D330" t="s">
        <v>112</v>
      </c>
      <c r="E330" s="2">
        <v>0.55902777777777779</v>
      </c>
      <c r="F330">
        <v>26.5</v>
      </c>
      <c r="G330">
        <v>36</v>
      </c>
      <c r="H330">
        <v>4.24</v>
      </c>
      <c r="I330">
        <v>10</v>
      </c>
      <c r="J330">
        <v>85</v>
      </c>
    </row>
    <row r="331" spans="1:11" x14ac:dyDescent="0.25">
      <c r="A331" s="1">
        <v>45257</v>
      </c>
      <c r="B331" t="s">
        <v>9</v>
      </c>
      <c r="C331" t="s">
        <v>85</v>
      </c>
      <c r="D331" t="s">
        <v>113</v>
      </c>
      <c r="E331" s="2">
        <v>0.55972222222222223</v>
      </c>
      <c r="F331">
        <v>26.4</v>
      </c>
      <c r="G331">
        <v>36</v>
      </c>
      <c r="H331">
        <v>4.2</v>
      </c>
      <c r="I331">
        <v>10</v>
      </c>
      <c r="J331">
        <v>82</v>
      </c>
    </row>
    <row r="332" spans="1:11" x14ac:dyDescent="0.25">
      <c r="A332" s="1">
        <v>45259</v>
      </c>
      <c r="B332" t="s">
        <v>9</v>
      </c>
      <c r="C332" t="s">
        <v>85</v>
      </c>
      <c r="D332" t="s">
        <v>111</v>
      </c>
      <c r="E332" s="2">
        <v>0.3833333333333333</v>
      </c>
      <c r="F332">
        <v>23.6</v>
      </c>
      <c r="G332">
        <v>7.3</v>
      </c>
      <c r="H332">
        <v>3.65</v>
      </c>
      <c r="I332">
        <v>11</v>
      </c>
      <c r="J332">
        <v>79</v>
      </c>
      <c r="K332">
        <v>1.635</v>
      </c>
    </row>
    <row r="333" spans="1:11" x14ac:dyDescent="0.25">
      <c r="A333" s="1">
        <v>45259</v>
      </c>
      <c r="B333" t="s">
        <v>9</v>
      </c>
      <c r="C333" t="s">
        <v>85</v>
      </c>
      <c r="D333" t="s">
        <v>112</v>
      </c>
      <c r="E333" s="2">
        <v>0.38472222222222219</v>
      </c>
      <c r="F333">
        <v>23.6</v>
      </c>
      <c r="G333">
        <v>6.9</v>
      </c>
      <c r="H333">
        <v>3.79</v>
      </c>
      <c r="I333">
        <v>10</v>
      </c>
      <c r="J333">
        <v>83</v>
      </c>
    </row>
    <row r="334" spans="1:11" x14ac:dyDescent="0.25">
      <c r="A334" s="1">
        <v>45259</v>
      </c>
      <c r="B334" t="s">
        <v>9</v>
      </c>
      <c r="C334" t="s">
        <v>85</v>
      </c>
      <c r="D334" t="s">
        <v>113</v>
      </c>
      <c r="E334" s="2">
        <v>0.38611111111111113</v>
      </c>
      <c r="F334">
        <v>23.6</v>
      </c>
      <c r="G334">
        <v>6.9</v>
      </c>
      <c r="H334">
        <v>3.76</v>
      </c>
      <c r="I334">
        <v>11</v>
      </c>
      <c r="J334">
        <v>87</v>
      </c>
    </row>
    <row r="335" spans="1:11" x14ac:dyDescent="0.25">
      <c r="A335" s="1">
        <v>45210</v>
      </c>
      <c r="B335" t="s">
        <v>52</v>
      </c>
      <c r="C335" t="s">
        <v>262</v>
      </c>
      <c r="D335" t="s">
        <v>59</v>
      </c>
      <c r="E335" s="2">
        <v>0.70138888888888884</v>
      </c>
      <c r="F335">
        <v>26</v>
      </c>
      <c r="G335">
        <v>38.799999999999997</v>
      </c>
      <c r="H335">
        <v>4.3099999999999996</v>
      </c>
      <c r="I335">
        <v>9</v>
      </c>
      <c r="J335">
        <v>100</v>
      </c>
      <c r="K335">
        <f>AVERAGE(1.78,1.92)</f>
        <v>1.85</v>
      </c>
    </row>
    <row r="336" spans="1:11" x14ac:dyDescent="0.25">
      <c r="A336" s="1">
        <v>45212</v>
      </c>
      <c r="B336" t="s">
        <v>52</v>
      </c>
      <c r="C336" t="s">
        <v>262</v>
      </c>
      <c r="D336" t="s">
        <v>59</v>
      </c>
      <c r="E336" s="2">
        <v>0.51388888888888895</v>
      </c>
      <c r="F336">
        <v>27.4</v>
      </c>
      <c r="G336">
        <v>31.6</v>
      </c>
      <c r="H336">
        <v>5.17</v>
      </c>
      <c r="I336">
        <v>13</v>
      </c>
      <c r="J336">
        <v>28</v>
      </c>
    </row>
    <row r="337" spans="1:11" x14ac:dyDescent="0.25">
      <c r="A337" s="1">
        <v>45212</v>
      </c>
      <c r="B337" t="s">
        <v>52</v>
      </c>
      <c r="C337" t="s">
        <v>262</v>
      </c>
      <c r="D337" t="s">
        <v>61</v>
      </c>
      <c r="E337" s="2">
        <v>0.51597222222222217</v>
      </c>
      <c r="F337">
        <v>27.1</v>
      </c>
      <c r="G337">
        <v>31.3</v>
      </c>
      <c r="H337">
        <v>5.25</v>
      </c>
      <c r="I337">
        <v>12</v>
      </c>
      <c r="J337">
        <v>76</v>
      </c>
    </row>
    <row r="338" spans="1:11" x14ac:dyDescent="0.25">
      <c r="A338" s="1">
        <v>45212</v>
      </c>
      <c r="B338" t="s">
        <v>52</v>
      </c>
      <c r="C338" t="s">
        <v>262</v>
      </c>
      <c r="D338" t="s">
        <v>62</v>
      </c>
      <c r="E338" s="2">
        <v>0.51736111111111105</v>
      </c>
      <c r="F338">
        <v>26.7</v>
      </c>
      <c r="G338">
        <v>28.3</v>
      </c>
      <c r="H338">
        <v>4.96</v>
      </c>
      <c r="I338">
        <v>10</v>
      </c>
      <c r="J338">
        <v>100</v>
      </c>
    </row>
    <row r="339" spans="1:11" x14ac:dyDescent="0.25">
      <c r="A339" s="1">
        <v>45217</v>
      </c>
      <c r="B339" t="s">
        <v>52</v>
      </c>
      <c r="C339" t="s">
        <v>262</v>
      </c>
      <c r="D339" t="s">
        <v>59</v>
      </c>
      <c r="E339" s="2">
        <v>0.56944444444444442</v>
      </c>
      <c r="F339">
        <v>27.6</v>
      </c>
      <c r="G339">
        <v>27.6</v>
      </c>
      <c r="H339">
        <v>4.32</v>
      </c>
      <c r="I339">
        <v>8</v>
      </c>
      <c r="J339">
        <v>91</v>
      </c>
      <c r="K339">
        <f>AVERAGE(4.59,3.7,3.18,2.77)</f>
        <v>3.5599999999999996</v>
      </c>
    </row>
    <row r="340" spans="1:11" x14ac:dyDescent="0.25">
      <c r="A340" s="1">
        <v>45219</v>
      </c>
      <c r="B340" t="s">
        <v>52</v>
      </c>
      <c r="C340" t="s">
        <v>262</v>
      </c>
      <c r="D340" t="s">
        <v>59</v>
      </c>
      <c r="E340" s="2">
        <v>0.39583333333333331</v>
      </c>
      <c r="F340">
        <v>23.9</v>
      </c>
      <c r="G340">
        <v>37.700000000000003</v>
      </c>
      <c r="H340">
        <v>4.1399999999999997</v>
      </c>
      <c r="I340">
        <v>8</v>
      </c>
      <c r="J340">
        <v>58</v>
      </c>
      <c r="K340">
        <f>AVERAGE(4.54,7.52,2.56,2.69)</f>
        <v>4.3274999999999997</v>
      </c>
    </row>
    <row r="341" spans="1:11" x14ac:dyDescent="0.25">
      <c r="A341" s="1">
        <v>45224</v>
      </c>
      <c r="B341" t="s">
        <v>52</v>
      </c>
      <c r="C341" t="s">
        <v>262</v>
      </c>
      <c r="D341" t="s">
        <v>59</v>
      </c>
      <c r="E341" s="2">
        <v>0.5625</v>
      </c>
      <c r="F341">
        <v>27.8</v>
      </c>
      <c r="G341">
        <v>22.2</v>
      </c>
      <c r="H341">
        <v>4.78</v>
      </c>
      <c r="I341">
        <v>9</v>
      </c>
      <c r="J341">
        <v>74</v>
      </c>
      <c r="K341">
        <f>AVERAGE(2.2,2.77,2.45,1.93)</f>
        <v>2.3375000000000004</v>
      </c>
    </row>
    <row r="342" spans="1:11" x14ac:dyDescent="0.25">
      <c r="A342" s="1">
        <v>45226</v>
      </c>
      <c r="B342" t="s">
        <v>52</v>
      </c>
      <c r="C342" t="s">
        <v>262</v>
      </c>
      <c r="D342" t="s">
        <v>59</v>
      </c>
      <c r="E342" s="2">
        <v>0.42430555555555555</v>
      </c>
      <c r="F342">
        <v>27.1</v>
      </c>
      <c r="G342">
        <v>27.1</v>
      </c>
      <c r="H342">
        <v>4.5599999999999996</v>
      </c>
      <c r="I342">
        <v>8</v>
      </c>
      <c r="J342">
        <v>89</v>
      </c>
      <c r="K342">
        <f>AVERAGE(2.29,2.03,1.55,1.9)</f>
        <v>1.9424999999999999</v>
      </c>
    </row>
    <row r="343" spans="1:11" x14ac:dyDescent="0.25">
      <c r="A343" s="1">
        <v>45231</v>
      </c>
      <c r="B343" t="s">
        <v>52</v>
      </c>
      <c r="C343" t="s">
        <v>262</v>
      </c>
      <c r="D343" t="s">
        <v>59</v>
      </c>
      <c r="E343" s="2">
        <v>0.51874999999999993</v>
      </c>
      <c r="F343">
        <v>25.4</v>
      </c>
      <c r="G343">
        <v>23.5</v>
      </c>
      <c r="H343">
        <v>4.2300000000000004</v>
      </c>
      <c r="I343">
        <v>8</v>
      </c>
      <c r="J343">
        <v>100</v>
      </c>
      <c r="K343">
        <f>AVERAGE(2.75,3.38,3.6,4)</f>
        <v>3.4325000000000001</v>
      </c>
    </row>
    <row r="344" spans="1:11" x14ac:dyDescent="0.25">
      <c r="A344" s="1">
        <v>45233</v>
      </c>
      <c r="B344" t="s">
        <v>52</v>
      </c>
      <c r="C344" t="s">
        <v>262</v>
      </c>
      <c r="D344" t="s">
        <v>59</v>
      </c>
      <c r="E344" s="2">
        <v>0.40138888888888885</v>
      </c>
      <c r="F344">
        <v>22.4</v>
      </c>
      <c r="G344">
        <v>16.399999999999999</v>
      </c>
      <c r="H344">
        <v>4.4400000000000004</v>
      </c>
      <c r="I344">
        <v>8</v>
      </c>
      <c r="J344">
        <v>73.5</v>
      </c>
      <c r="K344">
        <f>AVERAGE(1.72,4.3,2.33,1.87)</f>
        <v>2.5549999999999997</v>
      </c>
    </row>
    <row r="345" spans="1:11" x14ac:dyDescent="0.25">
      <c r="A345" s="1">
        <v>45238</v>
      </c>
      <c r="B345" t="s">
        <v>52</v>
      </c>
      <c r="C345" t="s">
        <v>262</v>
      </c>
      <c r="D345" t="s">
        <v>59</v>
      </c>
      <c r="E345" s="2">
        <v>0.50902777777777775</v>
      </c>
      <c r="F345">
        <v>24.8</v>
      </c>
      <c r="G345">
        <v>39.700000000000003</v>
      </c>
      <c r="H345">
        <v>4.7300000000000004</v>
      </c>
      <c r="I345">
        <v>9</v>
      </c>
      <c r="J345">
        <v>96</v>
      </c>
      <c r="K345">
        <f>AVERAGE(1.16,1.57)</f>
        <v>1.365</v>
      </c>
    </row>
    <row r="346" spans="1:11" x14ac:dyDescent="0.25">
      <c r="A346" s="1">
        <v>45240</v>
      </c>
      <c r="B346" t="s">
        <v>52</v>
      </c>
      <c r="C346" t="s">
        <v>262</v>
      </c>
      <c r="D346" t="s">
        <v>59</v>
      </c>
      <c r="E346" s="2">
        <v>0.38055555555555554</v>
      </c>
      <c r="F346">
        <v>23.7</v>
      </c>
      <c r="G346">
        <v>14.9</v>
      </c>
      <c r="H346">
        <v>4.2</v>
      </c>
      <c r="I346">
        <v>8</v>
      </c>
      <c r="J346">
        <v>92</v>
      </c>
      <c r="K346">
        <f>AVERAGE(2.55,4.72)</f>
        <v>3.6349999999999998</v>
      </c>
    </row>
    <row r="347" spans="1:11" x14ac:dyDescent="0.25">
      <c r="A347" s="1">
        <v>45245</v>
      </c>
      <c r="B347" t="s">
        <v>52</v>
      </c>
      <c r="C347" t="s">
        <v>262</v>
      </c>
      <c r="D347" t="s">
        <v>59</v>
      </c>
      <c r="E347" s="2">
        <v>0.5625</v>
      </c>
      <c r="F347">
        <v>24.2</v>
      </c>
      <c r="G347">
        <v>29.3</v>
      </c>
      <c r="H347">
        <v>4.4000000000000004</v>
      </c>
      <c r="I347">
        <v>8</v>
      </c>
      <c r="J347">
        <v>121</v>
      </c>
      <c r="K347">
        <f>AVERAGE(1.33,1.62)</f>
        <v>1.4750000000000001</v>
      </c>
    </row>
    <row r="348" spans="1:11" x14ac:dyDescent="0.25">
      <c r="A348" s="1">
        <v>45245</v>
      </c>
      <c r="B348" t="s">
        <v>52</v>
      </c>
      <c r="C348" t="s">
        <v>262</v>
      </c>
      <c r="D348" t="s">
        <v>230</v>
      </c>
      <c r="E348" s="2">
        <v>0.56319444444444444</v>
      </c>
      <c r="F348">
        <v>23.7</v>
      </c>
      <c r="G348">
        <v>9.1</v>
      </c>
    </row>
    <row r="349" spans="1:11" x14ac:dyDescent="0.25">
      <c r="A349" s="1">
        <v>45247</v>
      </c>
      <c r="B349" t="s">
        <v>52</v>
      </c>
      <c r="C349" t="s">
        <v>262</v>
      </c>
      <c r="D349" t="s">
        <v>59</v>
      </c>
      <c r="E349" s="2">
        <v>0.46597222222222223</v>
      </c>
      <c r="F349">
        <v>23.4</v>
      </c>
      <c r="G349">
        <v>37.799999999999997</v>
      </c>
      <c r="H349">
        <v>4.49</v>
      </c>
      <c r="I349">
        <v>11</v>
      </c>
      <c r="J349">
        <v>104</v>
      </c>
      <c r="K349">
        <f>AVERAGE(1.82,1.34)</f>
        <v>1.58</v>
      </c>
    </row>
    <row r="350" spans="1:11" x14ac:dyDescent="0.25">
      <c r="A350" s="1">
        <v>45247</v>
      </c>
      <c r="B350" t="s">
        <v>52</v>
      </c>
      <c r="C350" t="s">
        <v>262</v>
      </c>
      <c r="D350" t="s">
        <v>230</v>
      </c>
      <c r="E350" s="2">
        <v>0.47152777777777777</v>
      </c>
      <c r="F350">
        <v>23.1</v>
      </c>
      <c r="G350">
        <v>5.5</v>
      </c>
    </row>
    <row r="351" spans="1:11" x14ac:dyDescent="0.25">
      <c r="A351" s="1">
        <v>45252</v>
      </c>
      <c r="B351" t="s">
        <v>52</v>
      </c>
      <c r="C351" t="s">
        <v>262</v>
      </c>
      <c r="D351" t="s">
        <v>59</v>
      </c>
      <c r="E351" s="2">
        <v>0.66666666666666663</v>
      </c>
      <c r="F351">
        <v>28</v>
      </c>
      <c r="G351">
        <v>78.599999999999994</v>
      </c>
      <c r="H351">
        <v>5.23</v>
      </c>
      <c r="I351">
        <v>11</v>
      </c>
      <c r="J351">
        <v>106</v>
      </c>
      <c r="K351">
        <v>1.72</v>
      </c>
    </row>
    <row r="352" spans="1:11" x14ac:dyDescent="0.25">
      <c r="A352" s="1">
        <v>45252</v>
      </c>
      <c r="B352" t="s">
        <v>52</v>
      </c>
      <c r="C352" t="s">
        <v>262</v>
      </c>
      <c r="D352" t="s">
        <v>230</v>
      </c>
      <c r="E352" s="2">
        <v>0.66736111111111107</v>
      </c>
      <c r="F352">
        <v>25.5</v>
      </c>
      <c r="G352">
        <v>7.6</v>
      </c>
    </row>
    <row r="353" spans="1:11" x14ac:dyDescent="0.25">
      <c r="A353" s="1">
        <v>45254</v>
      </c>
      <c r="B353" t="s">
        <v>52</v>
      </c>
      <c r="C353" t="s">
        <v>262</v>
      </c>
      <c r="D353" t="s">
        <v>59</v>
      </c>
      <c r="E353" s="2">
        <v>0.4375</v>
      </c>
      <c r="F353">
        <v>24.2</v>
      </c>
      <c r="G353">
        <v>29.9</v>
      </c>
      <c r="H353">
        <v>4.2</v>
      </c>
      <c r="I353">
        <v>11</v>
      </c>
      <c r="J353">
        <v>132</v>
      </c>
      <c r="K353">
        <f>AVERAGE(1.68,1.75)</f>
        <v>1.7149999999999999</v>
      </c>
    </row>
    <row r="354" spans="1:11" x14ac:dyDescent="0.25">
      <c r="A354" s="1">
        <v>45254</v>
      </c>
      <c r="B354" t="s">
        <v>52</v>
      </c>
      <c r="C354" t="s">
        <v>262</v>
      </c>
      <c r="D354" t="s">
        <v>230</v>
      </c>
      <c r="E354" s="2">
        <v>0.4381944444444445</v>
      </c>
      <c r="F354">
        <v>23.9</v>
      </c>
      <c r="G354">
        <v>8.4</v>
      </c>
    </row>
    <row r="355" spans="1:11" x14ac:dyDescent="0.25">
      <c r="A355" s="1">
        <v>45257</v>
      </c>
      <c r="B355" t="s">
        <v>52</v>
      </c>
      <c r="C355" t="s">
        <v>262</v>
      </c>
      <c r="D355" t="s">
        <v>59</v>
      </c>
      <c r="E355" s="2">
        <v>0.5854166666666667</v>
      </c>
      <c r="F355">
        <v>27.2</v>
      </c>
      <c r="G355">
        <v>38.5</v>
      </c>
      <c r="H355">
        <v>4.6399999999999997</v>
      </c>
      <c r="I355">
        <v>11</v>
      </c>
      <c r="J355">
        <v>131</v>
      </c>
      <c r="K355">
        <f>AVERAGE(1.6,1.19)</f>
        <v>1.395</v>
      </c>
    </row>
    <row r="356" spans="1:11" x14ac:dyDescent="0.25">
      <c r="A356" s="1">
        <v>45257</v>
      </c>
      <c r="B356" t="s">
        <v>52</v>
      </c>
      <c r="C356" t="s">
        <v>262</v>
      </c>
      <c r="D356" t="s">
        <v>230</v>
      </c>
      <c r="E356" s="2">
        <v>0.58819444444444446</v>
      </c>
      <c r="F356">
        <v>24.9</v>
      </c>
      <c r="G356">
        <v>4.8</v>
      </c>
    </row>
    <row r="357" spans="1:11" x14ac:dyDescent="0.25">
      <c r="A357" s="1">
        <v>45259</v>
      </c>
      <c r="B357" t="s">
        <v>52</v>
      </c>
      <c r="C357" t="s">
        <v>262</v>
      </c>
      <c r="D357" t="s">
        <v>59</v>
      </c>
      <c r="E357" s="2">
        <v>0.40416666666666662</v>
      </c>
      <c r="F357">
        <v>22.7</v>
      </c>
      <c r="G357">
        <v>5.4</v>
      </c>
      <c r="H357">
        <v>3.91</v>
      </c>
      <c r="I357">
        <v>12</v>
      </c>
      <c r="J357">
        <v>129</v>
      </c>
      <c r="K357">
        <v>1.345</v>
      </c>
    </row>
    <row r="358" spans="1:11" x14ac:dyDescent="0.25">
      <c r="A358" s="1">
        <v>45259</v>
      </c>
      <c r="B358" t="s">
        <v>52</v>
      </c>
      <c r="C358" t="s">
        <v>262</v>
      </c>
      <c r="D358" t="s">
        <v>230</v>
      </c>
      <c r="E358" s="2">
        <v>0.4055555555555555</v>
      </c>
      <c r="F358">
        <v>23.1</v>
      </c>
      <c r="G358">
        <v>3.4</v>
      </c>
    </row>
  </sheetData>
  <sortState ref="A2:M358">
    <sortCondition ref="C1:C358"/>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E815E-7762-425B-85C4-221F56F129F8}">
  <dimension ref="A1:E28"/>
  <sheetViews>
    <sheetView workbookViewId="0">
      <selection activeCell="E12" sqref="E12"/>
    </sheetView>
  </sheetViews>
  <sheetFormatPr defaultColWidth="10.85546875" defaultRowHeight="15" x14ac:dyDescent="0.25"/>
  <cols>
    <col min="2" max="2" width="21.42578125" bestFit="1" customWidth="1"/>
    <col min="3" max="3" width="17.140625" customWidth="1"/>
    <col min="4" max="4" width="19.85546875" bestFit="1" customWidth="1"/>
    <col min="5" max="5" width="234.140625" bestFit="1" customWidth="1"/>
  </cols>
  <sheetData>
    <row r="1" spans="1:5" x14ac:dyDescent="0.25">
      <c r="A1" t="s">
        <v>0</v>
      </c>
      <c r="B1" t="s">
        <v>2</v>
      </c>
      <c r="C1" t="s">
        <v>175</v>
      </c>
      <c r="D1" t="s">
        <v>174</v>
      </c>
      <c r="E1" t="s">
        <v>99</v>
      </c>
    </row>
    <row r="2" spans="1:5" x14ac:dyDescent="0.25">
      <c r="A2" s="1">
        <v>45203</v>
      </c>
      <c r="B2" t="s">
        <v>9</v>
      </c>
      <c r="C2" t="s">
        <v>261</v>
      </c>
      <c r="E2" t="s">
        <v>126</v>
      </c>
    </row>
    <row r="3" spans="1:5" x14ac:dyDescent="0.25">
      <c r="A3" s="1">
        <v>45205</v>
      </c>
      <c r="B3" t="s">
        <v>9</v>
      </c>
      <c r="C3" t="s">
        <v>261</v>
      </c>
      <c r="E3" t="s">
        <v>127</v>
      </c>
    </row>
    <row r="4" spans="1:5" x14ac:dyDescent="0.25">
      <c r="A4" s="1">
        <v>45206</v>
      </c>
      <c r="B4" t="s">
        <v>42</v>
      </c>
      <c r="E4" t="s">
        <v>128</v>
      </c>
    </row>
    <row r="5" spans="1:5" x14ac:dyDescent="0.25">
      <c r="A5" s="1">
        <v>45208</v>
      </c>
      <c r="B5" t="s">
        <v>129</v>
      </c>
      <c r="E5" t="s">
        <v>131</v>
      </c>
    </row>
    <row r="6" spans="1:5" x14ac:dyDescent="0.25">
      <c r="A6" s="1">
        <v>45210</v>
      </c>
      <c r="B6" t="s">
        <v>130</v>
      </c>
      <c r="C6" t="s">
        <v>262</v>
      </c>
      <c r="E6" t="s">
        <v>142</v>
      </c>
    </row>
    <row r="7" spans="1:5" x14ac:dyDescent="0.25">
      <c r="A7" s="1">
        <v>45212</v>
      </c>
      <c r="B7" t="s">
        <v>132</v>
      </c>
      <c r="E7" t="s">
        <v>133</v>
      </c>
    </row>
    <row r="8" spans="1:5" x14ac:dyDescent="0.25">
      <c r="A8" s="1">
        <v>45215</v>
      </c>
      <c r="B8" t="s">
        <v>134</v>
      </c>
      <c r="C8" t="s">
        <v>284</v>
      </c>
      <c r="E8" t="s">
        <v>143</v>
      </c>
    </row>
    <row r="9" spans="1:5" x14ac:dyDescent="0.25">
      <c r="A9" s="1">
        <v>45217</v>
      </c>
      <c r="B9" t="s">
        <v>135</v>
      </c>
      <c r="C9" t="s">
        <v>261</v>
      </c>
      <c r="E9" t="s">
        <v>144</v>
      </c>
    </row>
    <row r="10" spans="1:5" x14ac:dyDescent="0.25">
      <c r="A10" s="1">
        <v>45219</v>
      </c>
      <c r="B10" t="s">
        <v>136</v>
      </c>
      <c r="E10" t="s">
        <v>137</v>
      </c>
    </row>
    <row r="11" spans="1:5" x14ac:dyDescent="0.25">
      <c r="A11" s="1">
        <v>45222</v>
      </c>
      <c r="B11" t="s">
        <v>138</v>
      </c>
      <c r="C11" t="s">
        <v>73</v>
      </c>
      <c r="E11" t="s">
        <v>145</v>
      </c>
    </row>
    <row r="12" spans="1:5" x14ac:dyDescent="0.25">
      <c r="A12" s="1">
        <v>45224</v>
      </c>
      <c r="B12" t="s">
        <v>139</v>
      </c>
      <c r="C12" t="s">
        <v>262</v>
      </c>
      <c r="E12" t="s">
        <v>146</v>
      </c>
    </row>
    <row r="13" spans="1:5" x14ac:dyDescent="0.25">
      <c r="A13" s="1">
        <v>45226</v>
      </c>
      <c r="B13" t="s">
        <v>136</v>
      </c>
      <c r="E13" t="s">
        <v>137</v>
      </c>
    </row>
    <row r="14" spans="1:5" x14ac:dyDescent="0.25">
      <c r="A14" s="1">
        <v>45229</v>
      </c>
      <c r="B14" t="s">
        <v>140</v>
      </c>
      <c r="C14" t="s">
        <v>284</v>
      </c>
      <c r="E14" t="s">
        <v>147</v>
      </c>
    </row>
    <row r="15" spans="1:5" x14ac:dyDescent="0.25">
      <c r="A15" s="1">
        <v>45231</v>
      </c>
      <c r="B15" t="s">
        <v>141</v>
      </c>
      <c r="C15" t="s">
        <v>261</v>
      </c>
      <c r="E15" t="s">
        <v>148</v>
      </c>
    </row>
    <row r="16" spans="1:5" x14ac:dyDescent="0.25">
      <c r="A16" s="1">
        <v>45233</v>
      </c>
      <c r="B16" t="s">
        <v>136</v>
      </c>
      <c r="E16" t="s">
        <v>149</v>
      </c>
    </row>
    <row r="17" spans="1:5" x14ac:dyDescent="0.25">
      <c r="A17" s="1">
        <v>45236</v>
      </c>
      <c r="B17" t="s">
        <v>185</v>
      </c>
      <c r="C17" t="s">
        <v>150</v>
      </c>
      <c r="E17" t="s">
        <v>161</v>
      </c>
    </row>
    <row r="18" spans="1:5" x14ac:dyDescent="0.25">
      <c r="A18" s="1">
        <v>45238</v>
      </c>
      <c r="B18" t="s">
        <v>186</v>
      </c>
      <c r="C18" t="s">
        <v>262</v>
      </c>
      <c r="E18" t="s">
        <v>162</v>
      </c>
    </row>
    <row r="19" spans="1:5" x14ac:dyDescent="0.25">
      <c r="A19" s="1">
        <v>45240</v>
      </c>
      <c r="B19" t="s">
        <v>136</v>
      </c>
      <c r="E19" t="s">
        <v>172</v>
      </c>
    </row>
    <row r="20" spans="1:5" x14ac:dyDescent="0.25">
      <c r="A20" s="1">
        <v>45243</v>
      </c>
      <c r="B20" t="s">
        <v>173</v>
      </c>
      <c r="C20" t="s">
        <v>284</v>
      </c>
      <c r="D20" t="s">
        <v>176</v>
      </c>
      <c r="E20" t="s">
        <v>177</v>
      </c>
    </row>
    <row r="21" spans="1:5" x14ac:dyDescent="0.25">
      <c r="A21" s="1">
        <v>45245</v>
      </c>
      <c r="B21" t="s">
        <v>187</v>
      </c>
      <c r="C21" t="s">
        <v>261</v>
      </c>
      <c r="D21" t="s">
        <v>85</v>
      </c>
      <c r="E21" t="s">
        <v>188</v>
      </c>
    </row>
    <row r="22" spans="1:5" x14ac:dyDescent="0.25">
      <c r="A22" s="1">
        <v>45247</v>
      </c>
      <c r="B22" t="s">
        <v>201</v>
      </c>
      <c r="E22" t="s">
        <v>202</v>
      </c>
    </row>
    <row r="23" spans="1:5" x14ac:dyDescent="0.25">
      <c r="A23" s="1">
        <v>45250</v>
      </c>
      <c r="B23" t="s">
        <v>203</v>
      </c>
      <c r="C23" t="s">
        <v>329</v>
      </c>
      <c r="D23" t="s">
        <v>330</v>
      </c>
      <c r="E23" t="s">
        <v>204</v>
      </c>
    </row>
    <row r="24" spans="1:5" x14ac:dyDescent="0.25">
      <c r="A24" s="1">
        <v>45252</v>
      </c>
      <c r="B24" t="s">
        <v>205</v>
      </c>
      <c r="C24" t="s">
        <v>262</v>
      </c>
      <c r="D24" t="s">
        <v>261</v>
      </c>
      <c r="E24" t="s">
        <v>206</v>
      </c>
    </row>
    <row r="25" spans="1:5" x14ac:dyDescent="0.25">
      <c r="A25" s="1">
        <v>45254</v>
      </c>
      <c r="B25" t="s">
        <v>136</v>
      </c>
      <c r="E25" t="s">
        <v>210</v>
      </c>
    </row>
    <row r="26" spans="1:5" x14ac:dyDescent="0.25">
      <c r="A26" s="1">
        <v>45255</v>
      </c>
      <c r="B26" t="s">
        <v>212</v>
      </c>
      <c r="C26" t="s">
        <v>284</v>
      </c>
      <c r="D26" t="s">
        <v>246</v>
      </c>
      <c r="E26" t="s">
        <v>241</v>
      </c>
    </row>
    <row r="27" spans="1:5" x14ac:dyDescent="0.25">
      <c r="A27" s="1">
        <v>45257</v>
      </c>
      <c r="B27" t="s">
        <v>213</v>
      </c>
      <c r="C27" t="s">
        <v>261</v>
      </c>
      <c r="D27" t="s">
        <v>262</v>
      </c>
      <c r="E27" t="s">
        <v>244</v>
      </c>
    </row>
    <row r="28" spans="1:5" x14ac:dyDescent="0.25">
      <c r="A28" s="1">
        <v>45259</v>
      </c>
      <c r="B28" t="s">
        <v>242</v>
      </c>
      <c r="E28" t="s">
        <v>243</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E4C6B-5506-4772-B96D-E50D0DDF69CB}">
  <dimension ref="A1:D56"/>
  <sheetViews>
    <sheetView workbookViewId="0">
      <selection activeCell="E34" sqref="E34"/>
    </sheetView>
  </sheetViews>
  <sheetFormatPr defaultColWidth="10.85546875" defaultRowHeight="15" x14ac:dyDescent="0.25"/>
  <cols>
    <col min="3" max="4" width="17.42578125" customWidth="1"/>
  </cols>
  <sheetData>
    <row r="1" spans="1:4" x14ac:dyDescent="0.25">
      <c r="A1" t="s">
        <v>0</v>
      </c>
      <c r="B1" t="s">
        <v>2</v>
      </c>
      <c r="C1" t="s">
        <v>282</v>
      </c>
      <c r="D1" t="s">
        <v>283</v>
      </c>
    </row>
    <row r="2" spans="1:4" x14ac:dyDescent="0.25">
      <c r="A2" s="1">
        <v>45203</v>
      </c>
      <c r="B2" t="s">
        <v>261</v>
      </c>
      <c r="C2" s="15">
        <v>45203.645833333336</v>
      </c>
      <c r="D2" s="15">
        <v>45205.454861111109</v>
      </c>
    </row>
    <row r="3" spans="1:4" x14ac:dyDescent="0.25">
      <c r="A3" s="1">
        <v>45205</v>
      </c>
      <c r="B3" t="s">
        <v>261</v>
      </c>
      <c r="C3" s="15">
        <v>45205.520833333336</v>
      </c>
      <c r="D3" s="15">
        <v>45207.361111111109</v>
      </c>
    </row>
    <row r="4" spans="1:4" x14ac:dyDescent="0.25">
      <c r="A4" s="1">
        <v>45206</v>
      </c>
      <c r="B4" t="s">
        <v>284</v>
      </c>
      <c r="C4" s="15">
        <v>45206.572916666664</v>
      </c>
      <c r="D4" s="15">
        <v>45208.430555555555</v>
      </c>
    </row>
    <row r="5" spans="1:4" x14ac:dyDescent="0.25">
      <c r="A5" s="1">
        <v>45208</v>
      </c>
      <c r="B5" t="s">
        <v>170</v>
      </c>
      <c r="C5" s="15">
        <v>45208.475694444445</v>
      </c>
      <c r="D5" s="15">
        <v>45210.409722222219</v>
      </c>
    </row>
    <row r="6" spans="1:4" x14ac:dyDescent="0.25">
      <c r="A6" s="1">
        <v>45210</v>
      </c>
      <c r="B6" t="s">
        <v>284</v>
      </c>
      <c r="C6" s="15">
        <v>45210.385416666664</v>
      </c>
      <c r="D6" s="15">
        <v>45212.347222222219</v>
      </c>
    </row>
    <row r="7" spans="1:4" x14ac:dyDescent="0.25">
      <c r="A7" s="1">
        <v>45210</v>
      </c>
      <c r="B7" t="s">
        <v>262</v>
      </c>
      <c r="C7" s="15">
        <v>45210.697916666664</v>
      </c>
      <c r="D7" s="15">
        <v>45212.513888888891</v>
      </c>
    </row>
    <row r="8" spans="1:4" x14ac:dyDescent="0.25">
      <c r="A8" s="1">
        <v>45215</v>
      </c>
      <c r="B8" t="s">
        <v>63</v>
      </c>
      <c r="C8" s="15">
        <v>45215.388888888891</v>
      </c>
      <c r="D8" s="15">
        <v>45217.368055555555</v>
      </c>
    </row>
    <row r="9" spans="1:4" x14ac:dyDescent="0.25">
      <c r="A9" s="1">
        <v>45215</v>
      </c>
      <c r="B9" t="s">
        <v>284</v>
      </c>
      <c r="C9" s="15">
        <v>45215.416666666664</v>
      </c>
      <c r="D9" s="15">
        <v>45217.388888888891</v>
      </c>
    </row>
    <row r="10" spans="1:4" x14ac:dyDescent="0.25">
      <c r="A10" s="1">
        <v>45217</v>
      </c>
      <c r="B10" t="s">
        <v>262</v>
      </c>
      <c r="C10" s="15">
        <v>45217.569444444445</v>
      </c>
      <c r="D10" s="15">
        <v>45219.395833333336</v>
      </c>
    </row>
    <row r="11" spans="1:4" x14ac:dyDescent="0.25">
      <c r="A11" s="1">
        <v>45217</v>
      </c>
      <c r="B11" t="s">
        <v>261</v>
      </c>
      <c r="C11" s="15">
        <v>45217.5625</v>
      </c>
      <c r="D11" s="15">
        <v>45219.371527777781</v>
      </c>
    </row>
    <row r="12" spans="1:4" x14ac:dyDescent="0.25">
      <c r="A12" s="1">
        <v>45217</v>
      </c>
      <c r="B12" t="s">
        <v>85</v>
      </c>
      <c r="C12" s="15">
        <v>45217.5625</v>
      </c>
      <c r="D12" s="15">
        <v>45219.378472222219</v>
      </c>
    </row>
    <row r="13" spans="1:4" x14ac:dyDescent="0.25">
      <c r="A13" s="1">
        <v>45222</v>
      </c>
      <c r="B13" t="s">
        <v>73</v>
      </c>
      <c r="C13" s="15">
        <v>45222.392361111109</v>
      </c>
      <c r="D13" s="15">
        <v>45224.361111111109</v>
      </c>
    </row>
    <row r="14" spans="1:4" x14ac:dyDescent="0.25">
      <c r="A14" s="1">
        <v>45222</v>
      </c>
      <c r="B14" t="s">
        <v>74</v>
      </c>
      <c r="C14" s="15">
        <v>45222.365277777775</v>
      </c>
      <c r="D14" s="15">
        <v>45224.350694444445</v>
      </c>
    </row>
    <row r="15" spans="1:4" x14ac:dyDescent="0.25">
      <c r="A15" s="1">
        <v>45222</v>
      </c>
      <c r="B15" t="s">
        <v>284</v>
      </c>
      <c r="C15" s="15">
        <v>45222.413888888892</v>
      </c>
      <c r="D15" s="15">
        <v>45224.371527777781</v>
      </c>
    </row>
    <row r="16" spans="1:4" x14ac:dyDescent="0.25">
      <c r="A16" s="1">
        <v>45224</v>
      </c>
      <c r="B16" t="s">
        <v>261</v>
      </c>
      <c r="C16" s="15">
        <v>45224.517361111109</v>
      </c>
      <c r="D16" s="15">
        <v>45226.397916666669</v>
      </c>
    </row>
    <row r="17" spans="1:4" x14ac:dyDescent="0.25">
      <c r="A17" s="1">
        <v>45224</v>
      </c>
      <c r="B17" t="s">
        <v>85</v>
      </c>
      <c r="C17" s="15">
        <v>45224.522916666669</v>
      </c>
      <c r="D17" s="15">
        <v>45226.40625</v>
      </c>
    </row>
    <row r="18" spans="1:4" x14ac:dyDescent="0.25">
      <c r="A18" s="1">
        <v>45224</v>
      </c>
      <c r="B18" t="s">
        <v>262</v>
      </c>
      <c r="C18" s="15">
        <v>45224.555555555555</v>
      </c>
      <c r="D18" s="15">
        <v>45226.427083333336</v>
      </c>
    </row>
    <row r="19" spans="1:4" x14ac:dyDescent="0.25">
      <c r="A19" s="1">
        <v>45229</v>
      </c>
      <c r="B19" t="s">
        <v>76</v>
      </c>
      <c r="C19" s="15">
        <v>45229.388888888891</v>
      </c>
      <c r="D19" s="15">
        <v>45231.364583333336</v>
      </c>
    </row>
    <row r="20" spans="1:4" x14ac:dyDescent="0.25">
      <c r="A20" s="1">
        <v>45229</v>
      </c>
      <c r="B20" t="s">
        <v>75</v>
      </c>
      <c r="C20" s="15">
        <v>45229.416666666664</v>
      </c>
      <c r="D20" s="15">
        <v>45231.375</v>
      </c>
    </row>
    <row r="21" spans="1:4" x14ac:dyDescent="0.25">
      <c r="A21" s="1">
        <v>45229</v>
      </c>
      <c r="B21" t="s">
        <v>284</v>
      </c>
      <c r="C21" s="15">
        <v>45229.443055555559</v>
      </c>
      <c r="D21" s="15">
        <v>45231.382638888892</v>
      </c>
    </row>
    <row r="22" spans="1:4" x14ac:dyDescent="0.25">
      <c r="A22" s="1">
        <v>45231</v>
      </c>
      <c r="B22" t="s">
        <v>261</v>
      </c>
      <c r="C22" s="15">
        <v>45231.5</v>
      </c>
      <c r="D22" s="15">
        <v>45233.388888888891</v>
      </c>
    </row>
    <row r="23" spans="1:4" x14ac:dyDescent="0.25">
      <c r="A23" s="1">
        <v>45231</v>
      </c>
      <c r="B23" t="s">
        <v>85</v>
      </c>
      <c r="C23" s="15">
        <v>45231.504166666666</v>
      </c>
      <c r="D23" s="15">
        <v>45233.381944444445</v>
      </c>
    </row>
    <row r="24" spans="1:4" x14ac:dyDescent="0.25">
      <c r="A24" s="1">
        <v>45231</v>
      </c>
      <c r="B24" t="s">
        <v>262</v>
      </c>
      <c r="C24" s="15">
        <v>45231.524305555555</v>
      </c>
      <c r="D24" s="15">
        <v>45233.402777777781</v>
      </c>
    </row>
    <row r="25" spans="1:4" x14ac:dyDescent="0.25">
      <c r="A25" s="1">
        <v>45236</v>
      </c>
      <c r="B25" t="s">
        <v>151</v>
      </c>
      <c r="C25" s="15">
        <v>45236.427083333336</v>
      </c>
      <c r="D25" s="15">
        <v>45238.350694444445</v>
      </c>
    </row>
    <row r="26" spans="1:4" x14ac:dyDescent="0.25">
      <c r="A26" s="1">
        <v>45236</v>
      </c>
      <c r="B26" t="s">
        <v>150</v>
      </c>
      <c r="C26" s="15">
        <v>45236.399305555555</v>
      </c>
      <c r="D26" s="15">
        <v>45238.357638888891</v>
      </c>
    </row>
    <row r="27" spans="1:4" x14ac:dyDescent="0.25">
      <c r="A27" s="1">
        <v>45236</v>
      </c>
      <c r="B27" t="s">
        <v>152</v>
      </c>
      <c r="C27" s="15">
        <v>45236.444444444445</v>
      </c>
      <c r="D27" s="15">
        <v>45238.383333333331</v>
      </c>
    </row>
    <row r="28" spans="1:4" x14ac:dyDescent="0.25">
      <c r="A28" s="1">
        <v>45236</v>
      </c>
      <c r="B28" t="s">
        <v>284</v>
      </c>
      <c r="C28" s="15">
        <v>45236.463888888888</v>
      </c>
      <c r="D28" s="15">
        <v>45238.399305555555</v>
      </c>
    </row>
    <row r="29" spans="1:4" x14ac:dyDescent="0.25">
      <c r="A29" s="1">
        <v>45238</v>
      </c>
      <c r="B29" t="s">
        <v>261</v>
      </c>
      <c r="C29" s="15">
        <v>45238.493055555555</v>
      </c>
      <c r="D29" s="15">
        <v>45240.40625</v>
      </c>
    </row>
    <row r="30" spans="1:4" x14ac:dyDescent="0.25">
      <c r="A30" s="1">
        <v>45238</v>
      </c>
      <c r="B30" t="s">
        <v>85</v>
      </c>
      <c r="C30" s="15">
        <v>45238.496527777781</v>
      </c>
      <c r="D30" s="15">
        <v>45240.395833333336</v>
      </c>
    </row>
    <row r="31" spans="1:4" x14ac:dyDescent="0.25">
      <c r="A31" s="1">
        <v>45238</v>
      </c>
      <c r="B31" t="s">
        <v>262</v>
      </c>
      <c r="C31" s="15">
        <v>45238.515972222223</v>
      </c>
      <c r="D31" s="15">
        <v>45240.381944444445</v>
      </c>
    </row>
    <row r="32" spans="1:4" x14ac:dyDescent="0.25">
      <c r="A32" s="1">
        <v>45243</v>
      </c>
      <c r="B32" t="s">
        <v>176</v>
      </c>
      <c r="C32" s="15">
        <v>45243.427083333336</v>
      </c>
      <c r="D32" s="15">
        <v>45245.375</v>
      </c>
    </row>
    <row r="33" spans="1:4" x14ac:dyDescent="0.25">
      <c r="A33" s="1">
        <v>45243</v>
      </c>
      <c r="B33" t="s">
        <v>178</v>
      </c>
      <c r="C33" s="15">
        <v>45243.413888888892</v>
      </c>
      <c r="D33" s="15">
        <v>45245.359027777777</v>
      </c>
    </row>
    <row r="34" spans="1:4" x14ac:dyDescent="0.25">
      <c r="A34" s="1">
        <v>45243</v>
      </c>
      <c r="B34" t="s">
        <v>179</v>
      </c>
      <c r="C34" s="15">
        <v>45243.451388888891</v>
      </c>
      <c r="D34" s="15">
        <v>45245.399305555555</v>
      </c>
    </row>
    <row r="35" spans="1:4" x14ac:dyDescent="0.25">
      <c r="A35" s="1">
        <v>45243</v>
      </c>
      <c r="B35" t="s">
        <v>284</v>
      </c>
      <c r="C35" s="15">
        <v>45243.46875</v>
      </c>
      <c r="D35" s="15">
        <v>45245.40625</v>
      </c>
    </row>
    <row r="36" spans="1:4" x14ac:dyDescent="0.25">
      <c r="A36" s="1">
        <v>45245</v>
      </c>
      <c r="B36" t="s">
        <v>261</v>
      </c>
      <c r="C36" s="15">
        <v>45245.541666666664</v>
      </c>
      <c r="D36" s="15">
        <v>45247.447916666664</v>
      </c>
    </row>
    <row r="37" spans="1:4" x14ac:dyDescent="0.25">
      <c r="A37" s="1">
        <v>45245</v>
      </c>
      <c r="B37" t="s">
        <v>85</v>
      </c>
      <c r="C37" s="15">
        <v>45245.545138888891</v>
      </c>
      <c r="D37" s="15">
        <v>45247.4375</v>
      </c>
    </row>
    <row r="38" spans="1:4" x14ac:dyDescent="0.25">
      <c r="A38" s="1">
        <v>45245</v>
      </c>
      <c r="B38" t="s">
        <v>262</v>
      </c>
      <c r="C38" s="15">
        <v>45245.573611111111</v>
      </c>
      <c r="D38" s="15">
        <v>45247.46875</v>
      </c>
    </row>
    <row r="39" spans="1:4" x14ac:dyDescent="0.25">
      <c r="A39" s="1">
        <v>45250</v>
      </c>
      <c r="B39" t="s">
        <v>191</v>
      </c>
      <c r="C39" s="15">
        <v>45250.40625</v>
      </c>
      <c r="D39" s="15">
        <v>45252.387499999997</v>
      </c>
    </row>
    <row r="40" spans="1:4" x14ac:dyDescent="0.25">
      <c r="A40" s="1">
        <v>45250</v>
      </c>
      <c r="B40" t="s">
        <v>192</v>
      </c>
      <c r="C40" s="15">
        <v>45250.417361111111</v>
      </c>
      <c r="D40" s="15">
        <v>45252.392361111109</v>
      </c>
    </row>
    <row r="41" spans="1:4" x14ac:dyDescent="0.25">
      <c r="A41" s="1">
        <v>45250</v>
      </c>
      <c r="B41" t="s">
        <v>193</v>
      </c>
      <c r="C41" s="15">
        <v>45250.440972222219</v>
      </c>
      <c r="D41" s="15">
        <v>45252.422222222223</v>
      </c>
    </row>
    <row r="42" spans="1:4" x14ac:dyDescent="0.25">
      <c r="A42" s="1">
        <v>45250</v>
      </c>
      <c r="B42" t="s">
        <v>194</v>
      </c>
      <c r="C42" s="15">
        <v>45250.455555555556</v>
      </c>
      <c r="D42" s="15">
        <v>45252.429861111108</v>
      </c>
    </row>
    <row r="43" spans="1:4" x14ac:dyDescent="0.25">
      <c r="A43" s="1">
        <v>45250</v>
      </c>
      <c r="B43" t="s">
        <v>195</v>
      </c>
      <c r="C43" s="15">
        <v>45250.47152777778</v>
      </c>
      <c r="D43" s="15">
        <v>45252.443749999999</v>
      </c>
    </row>
    <row r="44" spans="1:4" x14ac:dyDescent="0.25">
      <c r="A44" s="1">
        <v>45250</v>
      </c>
      <c r="B44" t="s">
        <v>284</v>
      </c>
      <c r="C44" s="15">
        <v>45250.5</v>
      </c>
      <c r="D44" s="15">
        <v>45252.472222222219</v>
      </c>
    </row>
    <row r="45" spans="1:4" x14ac:dyDescent="0.25">
      <c r="A45" s="1">
        <v>45252</v>
      </c>
      <c r="B45" t="s">
        <v>261</v>
      </c>
      <c r="C45" s="15">
        <v>45252.643750000003</v>
      </c>
      <c r="D45" s="15">
        <v>45254.46875</v>
      </c>
    </row>
    <row r="46" spans="1:4" x14ac:dyDescent="0.25">
      <c r="A46" s="1">
        <v>45252</v>
      </c>
      <c r="B46" t="s">
        <v>85</v>
      </c>
      <c r="C46" s="15">
        <v>45252.628472222219</v>
      </c>
      <c r="D46" s="15">
        <v>45254.458333333336</v>
      </c>
    </row>
    <row r="47" spans="1:4" x14ac:dyDescent="0.25">
      <c r="A47" s="1">
        <v>45252</v>
      </c>
      <c r="B47" t="s">
        <v>262</v>
      </c>
      <c r="C47" s="15">
        <v>45252.677083333336</v>
      </c>
      <c r="D47" s="15">
        <v>45254.4375</v>
      </c>
    </row>
    <row r="48" spans="1:4" x14ac:dyDescent="0.25">
      <c r="A48" s="1">
        <v>45255</v>
      </c>
      <c r="B48" t="s">
        <v>214</v>
      </c>
      <c r="C48" s="15">
        <v>45255.383333333331</v>
      </c>
      <c r="D48" s="15">
        <v>45257.368055555555</v>
      </c>
    </row>
    <row r="49" spans="1:4" x14ac:dyDescent="0.25">
      <c r="A49" s="1">
        <v>45255</v>
      </c>
      <c r="B49" t="s">
        <v>211</v>
      </c>
      <c r="C49" s="15">
        <v>45255.393750000003</v>
      </c>
      <c r="D49" s="15">
        <v>45257.381944444445</v>
      </c>
    </row>
    <row r="50" spans="1:4" x14ac:dyDescent="0.25">
      <c r="A50" s="1">
        <v>45255</v>
      </c>
      <c r="B50" t="s">
        <v>215</v>
      </c>
      <c r="C50" s="15">
        <v>45255.406944444447</v>
      </c>
      <c r="D50" s="15">
        <v>45257.392361111109</v>
      </c>
    </row>
    <row r="51" spans="1:4" x14ac:dyDescent="0.25">
      <c r="A51" s="1">
        <v>45255</v>
      </c>
      <c r="B51" t="s">
        <v>284</v>
      </c>
      <c r="C51" s="15">
        <v>45255.434027777781</v>
      </c>
      <c r="D51" s="15">
        <v>45257.407638888886</v>
      </c>
    </row>
    <row r="52" spans="1:4" x14ac:dyDescent="0.25">
      <c r="A52" s="1">
        <v>45255</v>
      </c>
      <c r="B52" t="s">
        <v>223</v>
      </c>
      <c r="C52" s="15">
        <v>45255.445833333331</v>
      </c>
      <c r="D52" s="15">
        <v>45257.416666666664</v>
      </c>
    </row>
    <row r="53" spans="1:4" x14ac:dyDescent="0.25">
      <c r="A53" s="1">
        <v>45255</v>
      </c>
      <c r="B53" t="s">
        <v>216</v>
      </c>
      <c r="C53" s="15">
        <v>45255.484722222223</v>
      </c>
      <c r="D53" s="15">
        <v>45257.427083333336</v>
      </c>
    </row>
    <row r="54" spans="1:4" x14ac:dyDescent="0.25">
      <c r="A54" s="1">
        <v>45257</v>
      </c>
      <c r="B54" t="s">
        <v>261</v>
      </c>
      <c r="C54" s="15">
        <v>45257.568055555559</v>
      </c>
      <c r="D54" s="15">
        <v>45259.390277777777</v>
      </c>
    </row>
    <row r="55" spans="1:4" x14ac:dyDescent="0.25">
      <c r="A55" s="1">
        <v>45257</v>
      </c>
      <c r="B55" t="s">
        <v>85</v>
      </c>
      <c r="C55" s="15">
        <v>45257.559027777781</v>
      </c>
      <c r="D55" s="15">
        <v>45259.383333333331</v>
      </c>
    </row>
    <row r="56" spans="1:4" x14ac:dyDescent="0.25">
      <c r="A56" s="1">
        <v>45257</v>
      </c>
      <c r="B56" t="s">
        <v>262</v>
      </c>
      <c r="C56" s="15">
        <v>45257.59375</v>
      </c>
      <c r="D56" s="15">
        <v>45259.404166666667</v>
      </c>
    </row>
  </sheetData>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AE363-8F04-4E9D-8CDE-AD363C43CC72}">
  <dimension ref="A1:AH30"/>
  <sheetViews>
    <sheetView workbookViewId="0">
      <selection activeCell="H34" sqref="H34"/>
    </sheetView>
  </sheetViews>
  <sheetFormatPr defaultColWidth="10.85546875" defaultRowHeight="15" x14ac:dyDescent="0.25"/>
  <sheetData>
    <row r="1" spans="1:34" x14ac:dyDescent="0.25">
      <c r="A1" t="s">
        <v>0</v>
      </c>
      <c r="B1" s="3" t="s">
        <v>291</v>
      </c>
      <c r="C1" t="s">
        <v>292</v>
      </c>
      <c r="D1" t="s">
        <v>2</v>
      </c>
      <c r="E1" t="s">
        <v>3</v>
      </c>
      <c r="Q1" s="45">
        <v>45203</v>
      </c>
      <c r="R1" s="45"/>
      <c r="S1" s="45"/>
      <c r="T1" s="45">
        <v>45222</v>
      </c>
      <c r="U1" s="45"/>
      <c r="V1" s="45"/>
      <c r="W1" s="45">
        <v>45236</v>
      </c>
      <c r="X1" s="45"/>
      <c r="Y1" s="45"/>
      <c r="Z1" s="45">
        <v>45243</v>
      </c>
      <c r="AA1" s="45"/>
      <c r="AB1" s="45"/>
      <c r="AC1" s="45">
        <v>45250</v>
      </c>
      <c r="AD1" s="45"/>
      <c r="AE1" s="45"/>
      <c r="AF1" s="45">
        <v>45259</v>
      </c>
      <c r="AG1" s="45"/>
      <c r="AH1" s="45"/>
    </row>
    <row r="2" spans="1:34" x14ac:dyDescent="0.25">
      <c r="A2" s="1">
        <v>45203</v>
      </c>
      <c r="B2" s="3" t="s">
        <v>293</v>
      </c>
      <c r="C2" t="s">
        <v>43</v>
      </c>
      <c r="D2" t="s">
        <v>42</v>
      </c>
      <c r="E2" t="s">
        <v>294</v>
      </c>
      <c r="O2" s="3" t="s">
        <v>291</v>
      </c>
      <c r="P2" t="s">
        <v>320</v>
      </c>
      <c r="Q2" t="s">
        <v>292</v>
      </c>
      <c r="R2" t="s">
        <v>2</v>
      </c>
      <c r="S2" t="s">
        <v>3</v>
      </c>
      <c r="T2" t="s">
        <v>292</v>
      </c>
      <c r="U2" t="s">
        <v>2</v>
      </c>
      <c r="V2" t="s">
        <v>3</v>
      </c>
      <c r="W2" t="s">
        <v>292</v>
      </c>
      <c r="X2" t="s">
        <v>2</v>
      </c>
      <c r="Y2" t="s">
        <v>3</v>
      </c>
      <c r="Z2" t="s">
        <v>292</v>
      </c>
      <c r="AA2" t="s">
        <v>2</v>
      </c>
      <c r="AB2" t="s">
        <v>3</v>
      </c>
      <c r="AC2" t="s">
        <v>292</v>
      </c>
      <c r="AD2" t="s">
        <v>2</v>
      </c>
      <c r="AE2" t="s">
        <v>3</v>
      </c>
      <c r="AF2" t="s">
        <v>292</v>
      </c>
      <c r="AG2" t="s">
        <v>2</v>
      </c>
      <c r="AH2" t="s">
        <v>3</v>
      </c>
    </row>
    <row r="3" spans="1:34" x14ac:dyDescent="0.25">
      <c r="A3" s="1">
        <v>45203</v>
      </c>
      <c r="B3" s="3" t="s">
        <v>295</v>
      </c>
      <c r="C3" t="s">
        <v>55</v>
      </c>
      <c r="D3" t="s">
        <v>42</v>
      </c>
      <c r="E3" t="s">
        <v>296</v>
      </c>
      <c r="O3" s="3" t="s">
        <v>293</v>
      </c>
      <c r="P3">
        <v>937484</v>
      </c>
      <c r="Q3" s="7" t="s">
        <v>43</v>
      </c>
      <c r="R3" s="7" t="s">
        <v>42</v>
      </c>
      <c r="S3" s="7" t="s">
        <v>294</v>
      </c>
      <c r="T3" s="19" t="s">
        <v>69</v>
      </c>
      <c r="U3" s="19" t="s">
        <v>9</v>
      </c>
      <c r="V3" s="19" t="s">
        <v>296</v>
      </c>
      <c r="W3" s="19" t="s">
        <v>69</v>
      </c>
      <c r="X3" s="19" t="s">
        <v>9</v>
      </c>
      <c r="Y3" s="19" t="s">
        <v>296</v>
      </c>
      <c r="Z3" s="20" t="s">
        <v>230</v>
      </c>
      <c r="AA3" s="20" t="s">
        <v>52</v>
      </c>
      <c r="AB3" s="20" t="s">
        <v>294</v>
      </c>
      <c r="AC3" s="20" t="s">
        <v>230</v>
      </c>
      <c r="AD3" s="20" t="s">
        <v>52</v>
      </c>
      <c r="AE3" s="20" t="s">
        <v>294</v>
      </c>
      <c r="AF3" s="20" t="s">
        <v>230</v>
      </c>
      <c r="AG3" s="20" t="s">
        <v>52</v>
      </c>
      <c r="AH3" s="20" t="s">
        <v>294</v>
      </c>
    </row>
    <row r="4" spans="1:34" x14ac:dyDescent="0.25">
      <c r="A4" s="1">
        <v>45203</v>
      </c>
      <c r="B4" s="3" t="s">
        <v>297</v>
      </c>
      <c r="C4" t="s">
        <v>298</v>
      </c>
      <c r="D4" t="s">
        <v>42</v>
      </c>
      <c r="E4" t="s">
        <v>299</v>
      </c>
      <c r="O4" s="3" t="s">
        <v>295</v>
      </c>
      <c r="P4">
        <v>937481</v>
      </c>
      <c r="Q4" s="7" t="s">
        <v>55</v>
      </c>
      <c r="R4" s="7" t="s">
        <v>42</v>
      </c>
      <c r="S4" s="7" t="s">
        <v>296</v>
      </c>
      <c r="T4" s="7" t="s">
        <v>55</v>
      </c>
      <c r="U4" s="7" t="s">
        <v>42</v>
      </c>
      <c r="V4" s="7" t="s">
        <v>296</v>
      </c>
      <c r="W4" s="7" t="s">
        <v>55</v>
      </c>
      <c r="X4" s="7" t="s">
        <v>42</v>
      </c>
      <c r="Y4" s="7" t="s">
        <v>296</v>
      </c>
      <c r="Z4" s="19" t="s">
        <v>321</v>
      </c>
      <c r="AA4" s="19" t="s">
        <v>45</v>
      </c>
      <c r="AB4" s="19" t="s">
        <v>299</v>
      </c>
      <c r="AC4" s="19" t="s">
        <v>321</v>
      </c>
      <c r="AD4" s="19" t="s">
        <v>45</v>
      </c>
      <c r="AE4" s="19" t="s">
        <v>299</v>
      </c>
      <c r="AF4" s="19" t="s">
        <v>321</v>
      </c>
      <c r="AG4" s="19" t="s">
        <v>45</v>
      </c>
      <c r="AH4" s="19" t="s">
        <v>299</v>
      </c>
    </row>
    <row r="5" spans="1:34" x14ac:dyDescent="0.25">
      <c r="A5" s="1">
        <v>45203</v>
      </c>
      <c r="B5" s="3" t="s">
        <v>300</v>
      </c>
      <c r="C5" t="s">
        <v>301</v>
      </c>
      <c r="D5" t="s">
        <v>42</v>
      </c>
      <c r="E5" t="s">
        <v>294</v>
      </c>
      <c r="O5" s="3" t="s">
        <v>297</v>
      </c>
      <c r="P5">
        <v>938917</v>
      </c>
      <c r="Q5" s="7" t="s">
        <v>298</v>
      </c>
      <c r="R5" s="7" t="s">
        <v>42</v>
      </c>
      <c r="S5" s="7" t="s">
        <v>299</v>
      </c>
      <c r="T5" s="19" t="s">
        <v>316</v>
      </c>
      <c r="U5" s="19" t="s">
        <v>9</v>
      </c>
      <c r="V5" s="19" t="s">
        <v>294</v>
      </c>
      <c r="W5" s="19" t="s">
        <v>316</v>
      </c>
      <c r="X5" s="19" t="s">
        <v>9</v>
      </c>
      <c r="Y5" s="19" t="s">
        <v>294</v>
      </c>
      <c r="Z5" s="19" t="s">
        <v>316</v>
      </c>
      <c r="AA5" s="19" t="s">
        <v>9</v>
      </c>
      <c r="AB5" s="19" t="s">
        <v>294</v>
      </c>
      <c r="AC5" s="19" t="s">
        <v>316</v>
      </c>
      <c r="AD5" s="19" t="s">
        <v>9</v>
      </c>
      <c r="AE5" s="19" t="s">
        <v>294</v>
      </c>
      <c r="AF5" s="19" t="s">
        <v>316</v>
      </c>
      <c r="AG5" s="19" t="s">
        <v>9</v>
      </c>
      <c r="AH5" s="19" t="s">
        <v>294</v>
      </c>
    </row>
    <row r="6" spans="1:34" x14ac:dyDescent="0.25">
      <c r="A6" s="1">
        <v>45203</v>
      </c>
      <c r="B6" s="3" t="s">
        <v>302</v>
      </c>
      <c r="C6" t="s">
        <v>57</v>
      </c>
      <c r="D6" t="s">
        <v>42</v>
      </c>
      <c r="E6" t="s">
        <v>294</v>
      </c>
      <c r="O6" s="3" t="s">
        <v>300</v>
      </c>
      <c r="P6">
        <v>937470</v>
      </c>
      <c r="Q6" s="7" t="s">
        <v>301</v>
      </c>
      <c r="R6" s="7" t="s">
        <v>42</v>
      </c>
      <c r="S6" s="7" t="s">
        <v>299</v>
      </c>
      <c r="T6" s="7" t="s">
        <v>301</v>
      </c>
      <c r="U6" s="7" t="s">
        <v>42</v>
      </c>
      <c r="V6" s="7" t="s">
        <v>299</v>
      </c>
      <c r="W6" s="7" t="s">
        <v>301</v>
      </c>
      <c r="X6" s="7" t="s">
        <v>42</v>
      </c>
      <c r="Y6" s="7" t="s">
        <v>299</v>
      </c>
      <c r="Z6" s="7" t="s">
        <v>301</v>
      </c>
      <c r="AA6" s="7" t="s">
        <v>42</v>
      </c>
      <c r="AB6" s="7" t="s">
        <v>299</v>
      </c>
      <c r="AC6" s="7" t="s">
        <v>301</v>
      </c>
      <c r="AD6" s="7" t="s">
        <v>42</v>
      </c>
      <c r="AE6" s="7" t="s">
        <v>299</v>
      </c>
      <c r="AF6" s="7" t="s">
        <v>301</v>
      </c>
      <c r="AG6" s="7" t="s">
        <v>42</v>
      </c>
      <c r="AH6" s="7" t="s">
        <v>322</v>
      </c>
    </row>
    <row r="7" spans="1:34" x14ac:dyDescent="0.25">
      <c r="A7" s="1">
        <v>45203</v>
      </c>
      <c r="B7" s="3" t="s">
        <v>303</v>
      </c>
      <c r="C7" t="s">
        <v>56</v>
      </c>
      <c r="D7" t="s">
        <v>42</v>
      </c>
      <c r="E7" t="s">
        <v>294</v>
      </c>
      <c r="O7" s="3" t="s">
        <v>302</v>
      </c>
      <c r="P7">
        <v>938914</v>
      </c>
      <c r="Q7" s="7" t="s">
        <v>57</v>
      </c>
      <c r="R7" s="7" t="s">
        <v>42</v>
      </c>
      <c r="S7" s="7" t="s">
        <v>296</v>
      </c>
      <c r="T7" s="7" t="s">
        <v>57</v>
      </c>
      <c r="U7" s="7" t="s">
        <v>42</v>
      </c>
      <c r="V7" s="7" t="s">
        <v>296</v>
      </c>
      <c r="W7" s="7" t="s">
        <v>57</v>
      </c>
      <c r="X7" s="7" t="s">
        <v>42</v>
      </c>
      <c r="Y7" s="7" t="s">
        <v>296</v>
      </c>
      <c r="Z7" s="19" t="s">
        <v>158</v>
      </c>
      <c r="AA7" s="19" t="s">
        <v>45</v>
      </c>
      <c r="AB7" s="19" t="s">
        <v>294</v>
      </c>
      <c r="AC7" s="19" t="s">
        <v>158</v>
      </c>
      <c r="AD7" s="19" t="s">
        <v>45</v>
      </c>
      <c r="AE7" s="19" t="s">
        <v>294</v>
      </c>
      <c r="AF7" s="19" t="s">
        <v>158</v>
      </c>
      <c r="AG7" s="19" t="s">
        <v>45</v>
      </c>
      <c r="AH7" s="19" t="s">
        <v>294</v>
      </c>
    </row>
    <row r="8" spans="1:34" x14ac:dyDescent="0.25">
      <c r="A8" s="1">
        <v>45203</v>
      </c>
      <c r="B8" s="3" t="s">
        <v>304</v>
      </c>
      <c r="C8" t="s">
        <v>53</v>
      </c>
      <c r="D8" t="s">
        <v>45</v>
      </c>
      <c r="E8" t="s">
        <v>294</v>
      </c>
      <c r="O8" s="3" t="s">
        <v>303</v>
      </c>
      <c r="P8">
        <v>938968</v>
      </c>
      <c r="Q8" s="7" t="s">
        <v>56</v>
      </c>
      <c r="R8" s="7" t="s">
        <v>42</v>
      </c>
      <c r="S8" s="7" t="s">
        <v>294</v>
      </c>
      <c r="T8" s="7" t="s">
        <v>56</v>
      </c>
      <c r="U8" s="7" t="s">
        <v>42</v>
      </c>
      <c r="V8" s="7" t="s">
        <v>294</v>
      </c>
      <c r="W8" s="7" t="s">
        <v>56</v>
      </c>
      <c r="X8" s="7" t="s">
        <v>42</v>
      </c>
      <c r="Y8" s="7" t="s">
        <v>294</v>
      </c>
      <c r="Z8" s="7" t="s">
        <v>56</v>
      </c>
      <c r="AA8" s="7" t="s">
        <v>42</v>
      </c>
      <c r="AB8" s="7" t="s">
        <v>294</v>
      </c>
      <c r="AC8" s="7" t="s">
        <v>56</v>
      </c>
      <c r="AD8" s="7" t="s">
        <v>42</v>
      </c>
      <c r="AE8" s="7" t="s">
        <v>294</v>
      </c>
      <c r="AF8" s="7" t="s">
        <v>56</v>
      </c>
      <c r="AG8" s="7" t="s">
        <v>42</v>
      </c>
      <c r="AH8" s="7" t="s">
        <v>294</v>
      </c>
    </row>
    <row r="9" spans="1:34" x14ac:dyDescent="0.25">
      <c r="A9" s="1">
        <v>45203</v>
      </c>
      <c r="B9" s="3" t="s">
        <v>305</v>
      </c>
      <c r="C9" t="s">
        <v>306</v>
      </c>
      <c r="D9" t="s">
        <v>45</v>
      </c>
      <c r="E9" t="s">
        <v>296</v>
      </c>
      <c r="O9" s="3" t="s">
        <v>304</v>
      </c>
      <c r="P9">
        <v>937474</v>
      </c>
      <c r="Q9" s="7" t="s">
        <v>158</v>
      </c>
      <c r="R9" s="7" t="s">
        <v>45</v>
      </c>
      <c r="S9" s="7" t="s">
        <v>294</v>
      </c>
      <c r="T9" s="19" t="s">
        <v>230</v>
      </c>
      <c r="U9" s="19" t="s">
        <v>52</v>
      </c>
      <c r="V9" s="19" t="s">
        <v>294</v>
      </c>
      <c r="W9" s="19" t="s">
        <v>230</v>
      </c>
      <c r="X9" s="19" t="s">
        <v>52</v>
      </c>
      <c r="Y9" s="19" t="s">
        <v>294</v>
      </c>
      <c r="Z9" s="11" t="s">
        <v>323</v>
      </c>
      <c r="AA9" s="11"/>
      <c r="AB9" s="11"/>
      <c r="AC9" s="11" t="s">
        <v>323</v>
      </c>
      <c r="AD9" s="11"/>
      <c r="AE9" s="11"/>
      <c r="AF9" s="11" t="s">
        <v>323</v>
      </c>
      <c r="AG9" s="11"/>
      <c r="AH9" s="11"/>
    </row>
    <row r="10" spans="1:34" x14ac:dyDescent="0.25">
      <c r="A10" s="1">
        <v>45203</v>
      </c>
      <c r="B10" s="3" t="s">
        <v>307</v>
      </c>
      <c r="C10" t="s">
        <v>308</v>
      </c>
      <c r="D10" t="s">
        <v>45</v>
      </c>
      <c r="E10" t="s">
        <v>296</v>
      </c>
      <c r="O10" s="3" t="s">
        <v>305</v>
      </c>
      <c r="P10">
        <v>937469</v>
      </c>
      <c r="Q10" s="7" t="s">
        <v>159</v>
      </c>
      <c r="R10" s="7" t="s">
        <v>45</v>
      </c>
      <c r="S10" s="7" t="s">
        <v>296</v>
      </c>
      <c r="T10" s="7" t="s">
        <v>159</v>
      </c>
      <c r="U10" s="7" t="s">
        <v>45</v>
      </c>
      <c r="V10" s="7" t="s">
        <v>296</v>
      </c>
      <c r="W10" s="7" t="s">
        <v>159</v>
      </c>
      <c r="X10" s="7" t="s">
        <v>45</v>
      </c>
      <c r="Y10" s="7" t="s">
        <v>296</v>
      </c>
      <c r="Z10" s="11" t="s">
        <v>323</v>
      </c>
      <c r="AA10" s="11"/>
      <c r="AB10" s="11"/>
      <c r="AC10" s="19" t="s">
        <v>233</v>
      </c>
      <c r="AD10" s="19" t="s">
        <v>45</v>
      </c>
      <c r="AE10" s="19" t="s">
        <v>294</v>
      </c>
      <c r="AF10" s="19" t="s">
        <v>233</v>
      </c>
      <c r="AG10" s="19" t="s">
        <v>324</v>
      </c>
      <c r="AH10" s="19" t="s">
        <v>294</v>
      </c>
    </row>
    <row r="11" spans="1:34" x14ac:dyDescent="0.25">
      <c r="A11" s="1">
        <v>45203</v>
      </c>
      <c r="B11" s="3" t="s">
        <v>309</v>
      </c>
      <c r="C11" t="s">
        <v>310</v>
      </c>
      <c r="D11" t="s">
        <v>45</v>
      </c>
      <c r="E11" t="s">
        <v>299</v>
      </c>
      <c r="O11" s="3" t="s">
        <v>307</v>
      </c>
      <c r="P11">
        <v>937439</v>
      </c>
      <c r="Q11" s="7" t="s">
        <v>321</v>
      </c>
      <c r="R11" s="7" t="s">
        <v>45</v>
      </c>
      <c r="S11" s="7" t="s">
        <v>296</v>
      </c>
      <c r="T11" s="19" t="s">
        <v>66</v>
      </c>
      <c r="U11" s="19" t="s">
        <v>45</v>
      </c>
      <c r="V11" s="19" t="s">
        <v>296</v>
      </c>
      <c r="W11" s="19" t="s">
        <v>66</v>
      </c>
      <c r="X11" s="19" t="s">
        <v>45</v>
      </c>
      <c r="Y11" s="19" t="s">
        <v>296</v>
      </c>
      <c r="Z11" s="11" t="s">
        <v>323</v>
      </c>
      <c r="AA11" s="11"/>
      <c r="AB11" s="11"/>
      <c r="AC11" s="20" t="s">
        <v>325</v>
      </c>
      <c r="AD11" s="20" t="s">
        <v>45</v>
      </c>
      <c r="AE11" s="20" t="s">
        <v>299</v>
      </c>
      <c r="AF11" s="20" t="s">
        <v>325</v>
      </c>
      <c r="AG11" s="20" t="s">
        <v>324</v>
      </c>
      <c r="AH11" s="20" t="s">
        <v>299</v>
      </c>
    </row>
    <row r="12" spans="1:34" x14ac:dyDescent="0.25">
      <c r="A12" s="1">
        <v>45203</v>
      </c>
      <c r="B12" s="3" t="s">
        <v>311</v>
      </c>
      <c r="C12" t="s">
        <v>65</v>
      </c>
      <c r="D12" t="s">
        <v>9</v>
      </c>
      <c r="E12" t="s">
        <v>299</v>
      </c>
      <c r="O12" s="3" t="s">
        <v>309</v>
      </c>
      <c r="P12">
        <v>937468</v>
      </c>
      <c r="Q12" s="7" t="s">
        <v>326</v>
      </c>
      <c r="R12" s="7" t="s">
        <v>45</v>
      </c>
      <c r="S12" s="7" t="s">
        <v>299</v>
      </c>
      <c r="T12" s="21" t="s">
        <v>327</v>
      </c>
      <c r="U12" s="21"/>
      <c r="V12" s="21"/>
      <c r="W12" s="21" t="s">
        <v>327</v>
      </c>
      <c r="X12" s="21"/>
      <c r="Y12" s="21"/>
      <c r="Z12" s="21"/>
      <c r="AA12" s="21"/>
      <c r="AB12" s="21"/>
      <c r="AC12" s="21"/>
      <c r="AD12" s="21"/>
      <c r="AE12" s="21"/>
      <c r="AF12" s="21" t="s">
        <v>327</v>
      </c>
      <c r="AG12" s="21"/>
      <c r="AH12" s="21"/>
    </row>
    <row r="13" spans="1:34" x14ac:dyDescent="0.25">
      <c r="A13" s="1">
        <v>45203</v>
      </c>
      <c r="B13" s="3" t="s">
        <v>312</v>
      </c>
      <c r="C13" t="s">
        <v>313</v>
      </c>
      <c r="D13" t="s">
        <v>9</v>
      </c>
      <c r="E13" t="s">
        <v>299</v>
      </c>
      <c r="O13" s="3" t="s">
        <v>311</v>
      </c>
      <c r="P13">
        <v>937486</v>
      </c>
      <c r="Q13" s="7" t="s">
        <v>65</v>
      </c>
      <c r="R13" s="7" t="s">
        <v>85</v>
      </c>
      <c r="S13" s="7" t="s">
        <v>294</v>
      </c>
      <c r="T13" s="19" t="s">
        <v>111</v>
      </c>
      <c r="U13" s="19" t="s">
        <v>85</v>
      </c>
      <c r="V13" s="19" t="s">
        <v>294</v>
      </c>
      <c r="W13" s="19" t="s">
        <v>111</v>
      </c>
      <c r="X13" s="19" t="s">
        <v>85</v>
      </c>
      <c r="Y13" s="19" t="s">
        <v>294</v>
      </c>
      <c r="Z13" s="19" t="s">
        <v>111</v>
      </c>
      <c r="AA13" s="19" t="s">
        <v>85</v>
      </c>
      <c r="AB13" s="19" t="s">
        <v>294</v>
      </c>
      <c r="AC13" s="19" t="s">
        <v>111</v>
      </c>
      <c r="AD13" s="19" t="s">
        <v>85</v>
      </c>
      <c r="AE13" s="19" t="s">
        <v>294</v>
      </c>
      <c r="AF13" s="19" t="s">
        <v>111</v>
      </c>
      <c r="AG13" s="19" t="s">
        <v>85</v>
      </c>
      <c r="AH13" s="19" t="s">
        <v>294</v>
      </c>
    </row>
    <row r="14" spans="1:34" x14ac:dyDescent="0.25">
      <c r="A14" s="1">
        <v>45222</v>
      </c>
      <c r="B14" s="3" t="s">
        <v>293</v>
      </c>
      <c r="C14" t="s">
        <v>314</v>
      </c>
      <c r="D14" t="s">
        <v>9</v>
      </c>
      <c r="E14" t="s">
        <v>299</v>
      </c>
      <c r="F14" t="s">
        <v>315</v>
      </c>
      <c r="O14" s="3" t="s">
        <v>312</v>
      </c>
      <c r="P14">
        <v>937466</v>
      </c>
      <c r="Q14" s="7" t="s">
        <v>313</v>
      </c>
      <c r="R14" s="7" t="s">
        <v>85</v>
      </c>
      <c r="S14" s="7" t="s">
        <v>299</v>
      </c>
      <c r="T14" s="19" t="s">
        <v>113</v>
      </c>
      <c r="U14" s="19" t="s">
        <v>85</v>
      </c>
      <c r="V14" s="19" t="s">
        <v>299</v>
      </c>
      <c r="W14" s="19" t="s">
        <v>328</v>
      </c>
      <c r="X14" s="19" t="s">
        <v>85</v>
      </c>
      <c r="Y14" s="19" t="s">
        <v>299</v>
      </c>
      <c r="Z14" s="19" t="s">
        <v>328</v>
      </c>
      <c r="AA14" s="19" t="s">
        <v>85</v>
      </c>
      <c r="AB14" s="19" t="s">
        <v>299</v>
      </c>
      <c r="AC14" s="19" t="s">
        <v>328</v>
      </c>
      <c r="AD14" s="19" t="s">
        <v>85</v>
      </c>
      <c r="AE14" s="19" t="s">
        <v>299</v>
      </c>
      <c r="AF14" s="19" t="s">
        <v>328</v>
      </c>
      <c r="AG14" s="19" t="s">
        <v>85</v>
      </c>
      <c r="AH14" s="19" t="s">
        <v>299</v>
      </c>
    </row>
    <row r="15" spans="1:34" x14ac:dyDescent="0.25">
      <c r="A15" s="1">
        <v>45222</v>
      </c>
      <c r="B15" s="3" t="s">
        <v>295</v>
      </c>
      <c r="C15" t="s">
        <v>55</v>
      </c>
      <c r="D15" t="s">
        <v>42</v>
      </c>
      <c r="E15" t="s">
        <v>296</v>
      </c>
    </row>
    <row r="16" spans="1:34" x14ac:dyDescent="0.25">
      <c r="A16" s="1">
        <v>45222</v>
      </c>
      <c r="B16" s="3" t="s">
        <v>297</v>
      </c>
      <c r="C16" t="s">
        <v>316</v>
      </c>
      <c r="D16" t="s">
        <v>9</v>
      </c>
      <c r="E16" t="s">
        <v>294</v>
      </c>
    </row>
    <row r="17" spans="1:6" x14ac:dyDescent="0.25">
      <c r="A17" s="1">
        <v>45222</v>
      </c>
      <c r="B17" s="3" t="s">
        <v>300</v>
      </c>
      <c r="C17" t="s">
        <v>301</v>
      </c>
      <c r="D17" t="s">
        <v>42</v>
      </c>
      <c r="E17" t="s">
        <v>294</v>
      </c>
    </row>
    <row r="18" spans="1:6" x14ac:dyDescent="0.25">
      <c r="A18" s="1">
        <v>45222</v>
      </c>
      <c r="B18" s="3" t="s">
        <v>302</v>
      </c>
      <c r="C18" t="s">
        <v>57</v>
      </c>
      <c r="D18" t="s">
        <v>42</v>
      </c>
      <c r="E18" t="s">
        <v>294</v>
      </c>
    </row>
    <row r="19" spans="1:6" x14ac:dyDescent="0.25">
      <c r="A19" s="1">
        <v>45222</v>
      </c>
      <c r="B19" s="3" t="s">
        <v>303</v>
      </c>
      <c r="C19" t="s">
        <v>56</v>
      </c>
      <c r="D19" t="s">
        <v>42</v>
      </c>
      <c r="E19" t="s">
        <v>294</v>
      </c>
    </row>
    <row r="20" spans="1:6" x14ac:dyDescent="0.25">
      <c r="A20" s="1">
        <v>45222</v>
      </c>
      <c r="B20" s="3" t="s">
        <v>304</v>
      </c>
      <c r="C20" t="s">
        <v>317</v>
      </c>
      <c r="D20" t="s">
        <v>52</v>
      </c>
      <c r="E20" t="s">
        <v>296</v>
      </c>
    </row>
    <row r="21" spans="1:6" x14ac:dyDescent="0.25">
      <c r="A21" s="1">
        <v>45222</v>
      </c>
      <c r="B21" s="3" t="s">
        <v>305</v>
      </c>
      <c r="C21" t="s">
        <v>54</v>
      </c>
      <c r="D21" t="s">
        <v>45</v>
      </c>
      <c r="E21" t="s">
        <v>296</v>
      </c>
    </row>
    <row r="22" spans="1:6" x14ac:dyDescent="0.25">
      <c r="A22" s="1">
        <v>45222</v>
      </c>
      <c r="B22" s="3" t="s">
        <v>307</v>
      </c>
      <c r="C22" t="s">
        <v>66</v>
      </c>
      <c r="D22" t="s">
        <v>45</v>
      </c>
      <c r="E22" t="s">
        <v>296</v>
      </c>
    </row>
    <row r="23" spans="1:6" x14ac:dyDescent="0.25">
      <c r="A23" s="1">
        <v>45222</v>
      </c>
      <c r="B23" s="3" t="s">
        <v>309</v>
      </c>
      <c r="C23" t="s">
        <v>183</v>
      </c>
      <c r="F23" t="s">
        <v>318</v>
      </c>
    </row>
    <row r="24" spans="1:6" x14ac:dyDescent="0.25">
      <c r="A24" s="1">
        <v>45222</v>
      </c>
      <c r="B24" s="3" t="s">
        <v>311</v>
      </c>
      <c r="C24" t="s">
        <v>111</v>
      </c>
      <c r="D24" t="s">
        <v>9</v>
      </c>
      <c r="E24" t="s">
        <v>299</v>
      </c>
    </row>
    <row r="25" spans="1:6" x14ac:dyDescent="0.25">
      <c r="A25" s="1">
        <v>45222</v>
      </c>
      <c r="B25" s="3" t="s">
        <v>312</v>
      </c>
      <c r="C25" t="s">
        <v>113</v>
      </c>
      <c r="D25" t="s">
        <v>9</v>
      </c>
      <c r="E25" t="s">
        <v>299</v>
      </c>
    </row>
    <row r="26" spans="1:6" x14ac:dyDescent="0.25">
      <c r="A26" s="1">
        <v>45236</v>
      </c>
      <c r="B26" s="3" t="s">
        <v>305</v>
      </c>
      <c r="C26" t="s">
        <v>159</v>
      </c>
      <c r="D26" t="s">
        <v>45</v>
      </c>
      <c r="E26" t="s">
        <v>296</v>
      </c>
    </row>
    <row r="27" spans="1:6" x14ac:dyDescent="0.25">
      <c r="A27" s="1">
        <v>45243</v>
      </c>
      <c r="B27" s="3" t="s">
        <v>295</v>
      </c>
      <c r="C27" t="s">
        <v>183</v>
      </c>
      <c r="F27" t="s">
        <v>319</v>
      </c>
    </row>
    <row r="28" spans="1:6" x14ac:dyDescent="0.25">
      <c r="A28" s="1">
        <v>45243</v>
      </c>
      <c r="B28" s="3" t="s">
        <v>302</v>
      </c>
      <c r="C28" t="s">
        <v>183</v>
      </c>
    </row>
    <row r="29" spans="1:6" x14ac:dyDescent="0.25">
      <c r="A29" s="1">
        <v>45243</v>
      </c>
      <c r="B29" s="3" t="s">
        <v>305</v>
      </c>
      <c r="C29" t="s">
        <v>183</v>
      </c>
    </row>
    <row r="30" spans="1:6" x14ac:dyDescent="0.25">
      <c r="A30" s="1">
        <v>45243</v>
      </c>
      <c r="B30" s="3" t="s">
        <v>307</v>
      </c>
      <c r="C30" t="s">
        <v>183</v>
      </c>
    </row>
  </sheetData>
  <mergeCells count="6">
    <mergeCell ref="AF1:AH1"/>
    <mergeCell ref="Q1:S1"/>
    <mergeCell ref="T1:V1"/>
    <mergeCell ref="W1:Y1"/>
    <mergeCell ref="Z1:AB1"/>
    <mergeCell ref="AC1:AE1"/>
  </mergeCell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2834C-9CB4-4980-8282-474288299ED3}">
  <dimension ref="A1:H39"/>
  <sheetViews>
    <sheetView topLeftCell="A19" workbookViewId="0">
      <selection activeCell="C27" sqref="C27"/>
    </sheetView>
  </sheetViews>
  <sheetFormatPr defaultColWidth="10.85546875" defaultRowHeight="15" x14ac:dyDescent="0.25"/>
  <sheetData>
    <row r="1" spans="1:8" x14ac:dyDescent="0.25">
      <c r="A1" t="s">
        <v>2</v>
      </c>
      <c r="B1" s="3" t="s">
        <v>163</v>
      </c>
      <c r="C1" s="3" t="s">
        <v>164</v>
      </c>
      <c r="D1" s="3" t="s">
        <v>247</v>
      </c>
      <c r="E1" s="3" t="s">
        <v>248</v>
      </c>
      <c r="F1" s="3" t="s">
        <v>252</v>
      </c>
      <c r="G1" s="3" t="s">
        <v>251</v>
      </c>
      <c r="H1" t="s">
        <v>88</v>
      </c>
    </row>
    <row r="2" spans="1:8" x14ac:dyDescent="0.25">
      <c r="A2" t="s">
        <v>9</v>
      </c>
      <c r="B2" s="5">
        <v>382794</v>
      </c>
      <c r="C2" s="5">
        <v>9964774</v>
      </c>
      <c r="D2" s="5">
        <v>-0.31864599999999998</v>
      </c>
      <c r="E2" s="5">
        <v>31.946743000000001</v>
      </c>
      <c r="H2" t="s">
        <v>87</v>
      </c>
    </row>
    <row r="3" spans="1:8" x14ac:dyDescent="0.25">
      <c r="A3" t="s">
        <v>84</v>
      </c>
      <c r="B3" s="5">
        <v>382782</v>
      </c>
      <c r="C3" s="5">
        <v>9964814</v>
      </c>
      <c r="D3" s="5">
        <v>-0.31828499999999998</v>
      </c>
      <c r="E3" s="5">
        <v>31.946635000000001</v>
      </c>
      <c r="F3" s="5"/>
      <c r="G3" s="5"/>
      <c r="H3" t="s">
        <v>89</v>
      </c>
    </row>
    <row r="4" spans="1:8" x14ac:dyDescent="0.25">
      <c r="A4" t="s">
        <v>52</v>
      </c>
      <c r="B4" s="5">
        <v>382134</v>
      </c>
      <c r="C4" s="5">
        <v>9964854</v>
      </c>
      <c r="D4" s="5">
        <v>-0.31792199999999998</v>
      </c>
      <c r="E4" s="5">
        <v>31.940812999999999</v>
      </c>
      <c r="F4" s="5"/>
      <c r="G4" s="5"/>
      <c r="H4" t="s">
        <v>86</v>
      </c>
    </row>
    <row r="5" spans="1:8" x14ac:dyDescent="0.25">
      <c r="A5" t="s">
        <v>42</v>
      </c>
      <c r="B5" s="5">
        <v>374592</v>
      </c>
      <c r="C5" s="5">
        <v>9959763</v>
      </c>
      <c r="D5" s="5">
        <v>-0.36396600000000001</v>
      </c>
      <c r="E5" s="5">
        <v>31.873041000000001</v>
      </c>
      <c r="F5" s="5"/>
      <c r="G5" s="5"/>
      <c r="H5" t="s">
        <v>83</v>
      </c>
    </row>
    <row r="6" spans="1:8" x14ac:dyDescent="0.25">
      <c r="A6" t="s">
        <v>223</v>
      </c>
      <c r="B6" s="5">
        <v>374591</v>
      </c>
      <c r="C6" s="5">
        <v>9959822</v>
      </c>
      <c r="D6" s="5">
        <v>-0.36343199999999998</v>
      </c>
      <c r="E6" s="5">
        <v>31.873031999999998</v>
      </c>
      <c r="F6" s="5" t="s">
        <v>249</v>
      </c>
      <c r="G6" s="5" t="s">
        <v>250</v>
      </c>
      <c r="H6" t="s">
        <v>224</v>
      </c>
    </row>
    <row r="7" spans="1:8" x14ac:dyDescent="0.25">
      <c r="A7" t="s">
        <v>170</v>
      </c>
      <c r="B7" s="5">
        <v>373860</v>
      </c>
      <c r="C7" s="5">
        <v>9959143</v>
      </c>
      <c r="D7" s="5">
        <v>-0.36957299999999998</v>
      </c>
      <c r="E7" s="5">
        <v>31.866463</v>
      </c>
      <c r="F7" s="5"/>
      <c r="G7" s="5"/>
      <c r="H7" t="s">
        <v>82</v>
      </c>
    </row>
    <row r="8" spans="1:8" x14ac:dyDescent="0.25">
      <c r="A8" t="s">
        <v>63</v>
      </c>
      <c r="B8" s="5">
        <v>374320</v>
      </c>
      <c r="C8" s="5">
        <v>9957429</v>
      </c>
      <c r="D8" s="5">
        <v>-0.38507799999999998</v>
      </c>
      <c r="E8" s="5">
        <v>31.870594000000001</v>
      </c>
      <c r="F8" s="5"/>
      <c r="G8" s="5"/>
      <c r="H8" t="s">
        <v>81</v>
      </c>
    </row>
    <row r="9" spans="1:8" x14ac:dyDescent="0.25">
      <c r="A9" t="s">
        <v>73</v>
      </c>
      <c r="B9" s="5">
        <v>374584</v>
      </c>
      <c r="C9" s="5">
        <v>9959720</v>
      </c>
      <c r="D9" s="5">
        <v>-0.36435499999999998</v>
      </c>
      <c r="E9" s="5">
        <v>31.872969000000001</v>
      </c>
      <c r="F9" s="5"/>
      <c r="G9" s="5"/>
      <c r="H9" t="s">
        <v>77</v>
      </c>
    </row>
    <row r="10" spans="1:8" x14ac:dyDescent="0.25">
      <c r="A10" t="s">
        <v>75</v>
      </c>
      <c r="B10" s="5">
        <v>374467</v>
      </c>
      <c r="C10" s="5">
        <v>9959722</v>
      </c>
      <c r="D10" s="5">
        <v>-0.36433700000000002</v>
      </c>
      <c r="E10" s="5">
        <v>31.871917</v>
      </c>
      <c r="F10" s="5"/>
      <c r="G10" s="5"/>
      <c r="H10" t="s">
        <v>78</v>
      </c>
    </row>
    <row r="11" spans="1:8" x14ac:dyDescent="0.25">
      <c r="A11" t="s">
        <v>151</v>
      </c>
      <c r="B11" s="5">
        <v>381026</v>
      </c>
      <c r="C11" s="5">
        <v>9962052</v>
      </c>
      <c r="D11" s="5">
        <v>-0.34326699999999999</v>
      </c>
      <c r="E11" s="5">
        <v>31.930854</v>
      </c>
      <c r="F11" s="5"/>
      <c r="G11" s="5"/>
      <c r="H11" t="s">
        <v>153</v>
      </c>
    </row>
    <row r="12" spans="1:8" x14ac:dyDescent="0.25">
      <c r="A12" t="s">
        <v>150</v>
      </c>
      <c r="B12" s="5">
        <v>381086</v>
      </c>
      <c r="C12" s="5">
        <v>9962037</v>
      </c>
      <c r="D12" s="5">
        <v>-0.34340300000000001</v>
      </c>
      <c r="E12" s="5">
        <v>31.931393</v>
      </c>
      <c r="F12" s="5"/>
      <c r="G12" s="5"/>
      <c r="H12" t="s">
        <v>154</v>
      </c>
    </row>
    <row r="13" spans="1:8" x14ac:dyDescent="0.25">
      <c r="A13" t="s">
        <v>176</v>
      </c>
      <c r="B13" s="5">
        <v>379010</v>
      </c>
      <c r="C13" s="5">
        <v>9962442</v>
      </c>
      <c r="D13" s="5">
        <v>-0.33973700000000001</v>
      </c>
      <c r="E13" s="5">
        <v>31.912739999999999</v>
      </c>
      <c r="F13" s="5"/>
      <c r="G13" s="5"/>
      <c r="H13" t="s">
        <v>180</v>
      </c>
    </row>
    <row r="14" spans="1:8" x14ac:dyDescent="0.25">
      <c r="A14" t="s">
        <v>178</v>
      </c>
      <c r="B14" s="5">
        <v>380983</v>
      </c>
      <c r="C14" s="5">
        <v>9961970</v>
      </c>
      <c r="D14" s="5">
        <v>-0.34400900000000001</v>
      </c>
      <c r="E14" s="5">
        <v>31.930468000000001</v>
      </c>
      <c r="F14" s="5"/>
      <c r="G14" s="5"/>
      <c r="H14" t="s">
        <v>181</v>
      </c>
    </row>
    <row r="15" spans="1:8" x14ac:dyDescent="0.25">
      <c r="A15" t="s">
        <v>191</v>
      </c>
      <c r="B15" s="5">
        <v>376926</v>
      </c>
      <c r="C15" s="5">
        <v>9962491</v>
      </c>
      <c r="D15" s="5">
        <v>-0.33929199999999998</v>
      </c>
      <c r="E15" s="5">
        <v>31.894015</v>
      </c>
      <c r="F15" s="5"/>
      <c r="G15" s="5"/>
      <c r="H15" t="s">
        <v>198</v>
      </c>
    </row>
    <row r="16" spans="1:8" x14ac:dyDescent="0.25">
      <c r="A16" t="s">
        <v>192</v>
      </c>
      <c r="B16" s="5">
        <v>376978</v>
      </c>
      <c r="C16" s="5">
        <v>9962346</v>
      </c>
      <c r="D16" s="5">
        <v>-0.34060400000000002</v>
      </c>
      <c r="E16" s="5">
        <v>31.894482</v>
      </c>
      <c r="F16" s="5"/>
      <c r="G16" s="5"/>
      <c r="H16" t="s">
        <v>199</v>
      </c>
    </row>
    <row r="17" spans="1:8" x14ac:dyDescent="0.25">
      <c r="A17" t="s">
        <v>221</v>
      </c>
      <c r="B17" s="5">
        <v>376995</v>
      </c>
      <c r="C17" s="5">
        <v>9962370</v>
      </c>
      <c r="D17" s="5">
        <v>-0.340387</v>
      </c>
      <c r="E17" s="5">
        <v>31.894635000000001</v>
      </c>
      <c r="F17" s="5"/>
      <c r="G17" s="5"/>
      <c r="H17" t="s">
        <v>166</v>
      </c>
    </row>
    <row r="18" spans="1:8" x14ac:dyDescent="0.25">
      <c r="A18" t="s">
        <v>256</v>
      </c>
      <c r="B18" s="8">
        <f>AVERAGE(B16:B17)</f>
        <v>376986.5</v>
      </c>
      <c r="C18" s="8">
        <f>AVERAGE(C16:C17)</f>
        <v>9962358</v>
      </c>
      <c r="D18" s="5">
        <f>AVERAGE(D16:D17)</f>
        <v>-0.34049550000000001</v>
      </c>
      <c r="E18" s="14">
        <f>AVERAGE(E16:E17)</f>
        <v>31.894558500000002</v>
      </c>
      <c r="H18" t="s">
        <v>254</v>
      </c>
    </row>
    <row r="19" spans="1:8" x14ac:dyDescent="0.25">
      <c r="A19" t="s">
        <v>193</v>
      </c>
      <c r="B19" s="5">
        <v>380078</v>
      </c>
      <c r="C19" s="5">
        <v>9958544</v>
      </c>
      <c r="D19" s="5">
        <v>-0.37499900000000003</v>
      </c>
      <c r="E19" s="5">
        <v>31.922332000000001</v>
      </c>
      <c r="F19" s="5"/>
      <c r="G19" s="5"/>
      <c r="H19" t="s">
        <v>196</v>
      </c>
    </row>
    <row r="20" spans="1:8" x14ac:dyDescent="0.25">
      <c r="A20" t="s">
        <v>194</v>
      </c>
      <c r="B20" s="5">
        <v>379990</v>
      </c>
      <c r="C20" s="5">
        <v>9958625</v>
      </c>
      <c r="D20" s="5">
        <v>-0.37426599999999999</v>
      </c>
      <c r="E20" s="5">
        <v>31.921541999999999</v>
      </c>
      <c r="F20" s="5"/>
      <c r="G20" s="5"/>
      <c r="H20" t="s">
        <v>200</v>
      </c>
    </row>
    <row r="21" spans="1:8" x14ac:dyDescent="0.25">
      <c r="A21" t="s">
        <v>222</v>
      </c>
      <c r="B21" s="5">
        <v>380015</v>
      </c>
      <c r="C21" s="5">
        <v>9958587</v>
      </c>
      <c r="D21" s="5">
        <v>-0.37461</v>
      </c>
      <c r="E21" s="5">
        <v>31.921766000000002</v>
      </c>
      <c r="F21" s="5"/>
      <c r="G21" s="5"/>
      <c r="H21" t="s">
        <v>166</v>
      </c>
    </row>
    <row r="22" spans="1:8" x14ac:dyDescent="0.25">
      <c r="A22" t="s">
        <v>257</v>
      </c>
      <c r="B22" s="8">
        <f>AVERAGE(B20:B21)</f>
        <v>380002.5</v>
      </c>
      <c r="C22" s="8">
        <f>AVERAGE(C20:C21)</f>
        <v>9958606</v>
      </c>
      <c r="D22" s="5">
        <f>AVERAGE(D20:D21)</f>
        <v>-0.37443799999999999</v>
      </c>
      <c r="E22" s="14">
        <f>AVERAGE(E20:E21)</f>
        <v>31.921654</v>
      </c>
      <c r="H22" t="s">
        <v>254</v>
      </c>
    </row>
    <row r="23" spans="1:8" x14ac:dyDescent="0.25">
      <c r="A23" t="s">
        <v>195</v>
      </c>
      <c r="B23" s="5">
        <v>378278</v>
      </c>
      <c r="C23" s="5">
        <v>9957271</v>
      </c>
      <c r="D23" s="5">
        <v>-0.38651200000000002</v>
      </c>
      <c r="E23" s="5">
        <v>31.906157</v>
      </c>
      <c r="F23" s="5"/>
      <c r="G23" s="5"/>
      <c r="H23" t="s">
        <v>197</v>
      </c>
    </row>
    <row r="24" spans="1:8" x14ac:dyDescent="0.25">
      <c r="A24" t="s">
        <v>214</v>
      </c>
      <c r="B24" s="5">
        <v>378529</v>
      </c>
      <c r="C24" s="5">
        <v>9960571</v>
      </c>
      <c r="D24" s="5">
        <v>-0.35666100000000001</v>
      </c>
      <c r="E24" s="5">
        <v>31.908415999999999</v>
      </c>
      <c r="F24" s="5"/>
      <c r="G24" s="5"/>
      <c r="H24" t="s">
        <v>217</v>
      </c>
    </row>
    <row r="25" spans="1:8" x14ac:dyDescent="0.25">
      <c r="A25" t="s">
        <v>211</v>
      </c>
      <c r="B25" s="5">
        <v>377619</v>
      </c>
      <c r="C25" s="5">
        <v>9959828</v>
      </c>
      <c r="D25" s="5">
        <v>-0.36338100000000001</v>
      </c>
      <c r="E25" s="5">
        <v>31.900238999999999</v>
      </c>
      <c r="F25" s="5"/>
      <c r="G25" s="5"/>
      <c r="H25" t="s">
        <v>218</v>
      </c>
    </row>
    <row r="26" spans="1:8" x14ac:dyDescent="0.25">
      <c r="A26" t="s">
        <v>215</v>
      </c>
      <c r="B26" s="5">
        <v>375916</v>
      </c>
      <c r="C26" s="5">
        <v>9958544</v>
      </c>
      <c r="D26" s="5">
        <v>-0.37499399999999999</v>
      </c>
      <c r="E26" s="5">
        <v>31.884936</v>
      </c>
      <c r="F26" s="5"/>
      <c r="G26" s="5"/>
      <c r="H26" t="s">
        <v>219</v>
      </c>
    </row>
    <row r="27" spans="1:8" x14ac:dyDescent="0.25">
      <c r="A27" t="s">
        <v>216</v>
      </c>
      <c r="B27" s="5">
        <v>374826</v>
      </c>
      <c r="C27" s="5">
        <v>9960108</v>
      </c>
      <c r="D27" s="5">
        <v>-0.36084500000000003</v>
      </c>
      <c r="E27" s="5">
        <v>31.875143000000001</v>
      </c>
      <c r="F27" s="5"/>
      <c r="G27" s="5"/>
      <c r="H27" t="s">
        <v>220</v>
      </c>
    </row>
    <row r="28" spans="1:8" x14ac:dyDescent="0.25">
      <c r="A28" t="s">
        <v>74</v>
      </c>
      <c r="B28" s="5">
        <v>374619</v>
      </c>
      <c r="C28" s="5">
        <v>9959621</v>
      </c>
      <c r="D28" s="5">
        <v>-0.36525000000000002</v>
      </c>
      <c r="E28" s="5">
        <v>31.873283000000001</v>
      </c>
      <c r="F28" s="5"/>
      <c r="G28" s="5"/>
      <c r="H28" t="s">
        <v>79</v>
      </c>
    </row>
    <row r="29" spans="1:8" x14ac:dyDescent="0.25">
      <c r="A29" t="s">
        <v>76</v>
      </c>
      <c r="B29" s="5">
        <v>374705</v>
      </c>
      <c r="C29" s="5">
        <v>9959456</v>
      </c>
      <c r="D29" s="5">
        <v>-0.36674299999999999</v>
      </c>
      <c r="E29" s="5">
        <v>31.874056</v>
      </c>
      <c r="F29" s="5"/>
      <c r="G29" s="5"/>
      <c r="H29" t="s">
        <v>80</v>
      </c>
    </row>
    <row r="30" spans="1:8" x14ac:dyDescent="0.25">
      <c r="A30" t="s">
        <v>152</v>
      </c>
      <c r="B30" s="5">
        <v>374832</v>
      </c>
      <c r="C30" s="5">
        <v>9959328</v>
      </c>
      <c r="D30" s="5">
        <v>-0.36790099999999998</v>
      </c>
      <c r="E30" s="5">
        <v>31.875195999999999</v>
      </c>
      <c r="F30" s="5"/>
      <c r="G30" s="5"/>
      <c r="H30" t="s">
        <v>155</v>
      </c>
    </row>
    <row r="31" spans="1:8" x14ac:dyDescent="0.25">
      <c r="A31" t="s">
        <v>165</v>
      </c>
      <c r="B31" s="5">
        <v>374807</v>
      </c>
      <c r="C31" s="5">
        <v>9959342</v>
      </c>
      <c r="D31" s="5">
        <v>-0.36777399999999999</v>
      </c>
      <c r="E31" s="5">
        <v>31.874972</v>
      </c>
      <c r="F31" s="5"/>
      <c r="G31" s="5"/>
      <c r="H31" t="s">
        <v>166</v>
      </c>
    </row>
    <row r="32" spans="1:8" x14ac:dyDescent="0.25">
      <c r="A32" t="s">
        <v>255</v>
      </c>
      <c r="B32" s="8">
        <f>AVERAGE(B30:B31)</f>
        <v>374819.5</v>
      </c>
      <c r="C32" s="8">
        <f>AVERAGE(C30:C31)</f>
        <v>9959335</v>
      </c>
      <c r="D32" s="5">
        <f>AVERAGE(D30:D31)</f>
        <v>-0.36783749999999998</v>
      </c>
      <c r="E32" s="14">
        <f>AVERAGE(E30:E31)</f>
        <v>31.875084000000001</v>
      </c>
      <c r="H32" t="s">
        <v>254</v>
      </c>
    </row>
    <row r="33" spans="1:8" x14ac:dyDescent="0.25">
      <c r="A33" t="s">
        <v>179</v>
      </c>
      <c r="B33" s="8">
        <v>374872</v>
      </c>
      <c r="C33" s="8">
        <v>9959281</v>
      </c>
      <c r="D33" s="5">
        <v>-0.36832599999999999</v>
      </c>
      <c r="E33" s="5">
        <v>31.875556</v>
      </c>
      <c r="F33" s="8"/>
      <c r="G33" s="8"/>
      <c r="H33" t="s">
        <v>182</v>
      </c>
    </row>
    <row r="34" spans="1:8" x14ac:dyDescent="0.25">
      <c r="A34" t="s">
        <v>189</v>
      </c>
      <c r="B34" s="8">
        <v>374900</v>
      </c>
      <c r="C34" s="8">
        <v>9959257</v>
      </c>
      <c r="D34" s="5">
        <v>-0.36854300000000001</v>
      </c>
      <c r="E34" s="5">
        <v>31.875806999999998</v>
      </c>
      <c r="F34" s="8"/>
      <c r="G34" s="8"/>
      <c r="H34" t="s">
        <v>166</v>
      </c>
    </row>
    <row r="35" spans="1:8" x14ac:dyDescent="0.25">
      <c r="A35" t="s">
        <v>253</v>
      </c>
      <c r="B35" s="8">
        <f>AVERAGE(B33:B34)</f>
        <v>374886</v>
      </c>
      <c r="C35" s="8">
        <f>AVERAGE(C33:C34)</f>
        <v>9959269</v>
      </c>
      <c r="D35" s="5">
        <f>AVERAGE(D33:D34)</f>
        <v>-0.3684345</v>
      </c>
      <c r="E35" s="14">
        <f>AVERAGE(E33:E34)</f>
        <v>31.875681499999999</v>
      </c>
      <c r="H35" t="s">
        <v>254</v>
      </c>
    </row>
    <row r="38" spans="1:8" x14ac:dyDescent="0.25">
      <c r="B38" s="3"/>
      <c r="C38" s="3"/>
    </row>
    <row r="39" spans="1:8" x14ac:dyDescent="0.25">
      <c r="B39" s="3"/>
      <c r="C39" s="3"/>
    </row>
  </sheetData>
  <pageMargins left="0.7" right="0.7" top="0.78740157499999996" bottom="0.78740157499999996"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674A7-C08D-43FA-B61D-574314710896}">
  <dimension ref="A1:C40"/>
  <sheetViews>
    <sheetView workbookViewId="0">
      <selection activeCell="B16" sqref="B16"/>
    </sheetView>
  </sheetViews>
  <sheetFormatPr defaultColWidth="10.85546875" defaultRowHeight="15" x14ac:dyDescent="0.25"/>
  <cols>
    <col min="1" max="1" width="20.42578125" bestFit="1" customWidth="1"/>
    <col min="2" max="2" width="45.5703125" style="8" bestFit="1" customWidth="1"/>
    <col min="3" max="3" width="131" bestFit="1" customWidth="1"/>
  </cols>
  <sheetData>
    <row r="1" spans="1:3" x14ac:dyDescent="0.25">
      <c r="A1" t="s">
        <v>31</v>
      </c>
      <c r="B1" t="s">
        <v>32</v>
      </c>
      <c r="C1" t="s">
        <v>35</v>
      </c>
    </row>
    <row r="2" spans="1:3" x14ac:dyDescent="0.25">
      <c r="A2" t="s">
        <v>258</v>
      </c>
      <c r="B2" t="s">
        <v>259</v>
      </c>
      <c r="C2" t="s">
        <v>46</v>
      </c>
    </row>
    <row r="3" spans="1:3" x14ac:dyDescent="0.25">
      <c r="B3"/>
      <c r="C3" t="s">
        <v>47</v>
      </c>
    </row>
    <row r="4" spans="1:3" x14ac:dyDescent="0.25">
      <c r="B4"/>
      <c r="C4" t="s">
        <v>29</v>
      </c>
    </row>
    <row r="5" spans="1:3" x14ac:dyDescent="0.25">
      <c r="B5"/>
      <c r="C5" t="s">
        <v>48</v>
      </c>
    </row>
    <row r="6" spans="1:3" x14ac:dyDescent="0.25">
      <c r="A6" t="s">
        <v>2</v>
      </c>
      <c r="B6" t="s">
        <v>260</v>
      </c>
      <c r="C6" t="s">
        <v>263</v>
      </c>
    </row>
    <row r="7" spans="1:3" x14ac:dyDescent="0.25">
      <c r="B7"/>
      <c r="C7" t="s">
        <v>264</v>
      </c>
    </row>
    <row r="8" spans="1:3" x14ac:dyDescent="0.25">
      <c r="B8"/>
      <c r="C8" t="s">
        <v>266</v>
      </c>
    </row>
    <row r="9" spans="1:3" x14ac:dyDescent="0.25">
      <c r="B9"/>
      <c r="C9" t="s">
        <v>265</v>
      </c>
    </row>
    <row r="10" spans="1:3" x14ac:dyDescent="0.25">
      <c r="B10"/>
      <c r="C10" t="s">
        <v>267</v>
      </c>
    </row>
    <row r="11" spans="1:3" x14ac:dyDescent="0.25">
      <c r="B11"/>
      <c r="C11" t="s">
        <v>268</v>
      </c>
    </row>
    <row r="12" spans="1:3" x14ac:dyDescent="0.25">
      <c r="A12" t="s">
        <v>3</v>
      </c>
      <c r="B12" t="s">
        <v>30</v>
      </c>
      <c r="C12" t="s">
        <v>33</v>
      </c>
    </row>
    <row r="13" spans="1:3" x14ac:dyDescent="0.25">
      <c r="B13"/>
      <c r="C13" t="s">
        <v>34</v>
      </c>
    </row>
    <row r="14" spans="1:3" x14ac:dyDescent="0.25">
      <c r="B14"/>
      <c r="C14" t="s">
        <v>50</v>
      </c>
    </row>
    <row r="15" spans="1:3" x14ac:dyDescent="0.25">
      <c r="B15"/>
      <c r="C15" t="s">
        <v>49</v>
      </c>
    </row>
    <row r="16" spans="1:3" x14ac:dyDescent="0.25">
      <c r="B16"/>
      <c r="C16" t="s">
        <v>51</v>
      </c>
    </row>
    <row r="17" spans="1:3" x14ac:dyDescent="0.25">
      <c r="A17" t="s">
        <v>93</v>
      </c>
      <c r="B17" t="s">
        <v>269</v>
      </c>
      <c r="C17" t="s">
        <v>272</v>
      </c>
    </row>
    <row r="18" spans="1:3" x14ac:dyDescent="0.25">
      <c r="B18"/>
      <c r="C18" t="s">
        <v>271</v>
      </c>
    </row>
    <row r="19" spans="1:3" x14ac:dyDescent="0.25">
      <c r="B19"/>
      <c r="C19" t="s">
        <v>273</v>
      </c>
    </row>
    <row r="20" spans="1:3" x14ac:dyDescent="0.25">
      <c r="B20"/>
      <c r="C20" t="s">
        <v>274</v>
      </c>
    </row>
    <row r="21" spans="1:3" x14ac:dyDescent="0.25">
      <c r="B21"/>
      <c r="C21" t="s">
        <v>275</v>
      </c>
    </row>
    <row r="22" spans="1:3" x14ac:dyDescent="0.25">
      <c r="A22" t="s">
        <v>94</v>
      </c>
      <c r="B22" t="s">
        <v>114</v>
      </c>
      <c r="C22" t="s">
        <v>276</v>
      </c>
    </row>
    <row r="23" spans="1:3" x14ac:dyDescent="0.25">
      <c r="B23"/>
      <c r="C23" t="s">
        <v>277</v>
      </c>
    </row>
    <row r="24" spans="1:3" x14ac:dyDescent="0.25">
      <c r="A24" t="s">
        <v>115</v>
      </c>
      <c r="B24" t="s">
        <v>278</v>
      </c>
    </row>
    <row r="25" spans="1:3" x14ac:dyDescent="0.25">
      <c r="A25" t="s">
        <v>116</v>
      </c>
      <c r="B25" t="s">
        <v>279</v>
      </c>
    </row>
    <row r="26" spans="1:3" x14ac:dyDescent="0.25">
      <c r="A26" t="s">
        <v>117</v>
      </c>
      <c r="B26" t="s">
        <v>280</v>
      </c>
    </row>
    <row r="27" spans="1:3" x14ac:dyDescent="0.25">
      <c r="A27" t="s">
        <v>4</v>
      </c>
      <c r="B27" t="s">
        <v>36</v>
      </c>
    </row>
    <row r="28" spans="1:3" x14ac:dyDescent="0.25">
      <c r="A28" t="s">
        <v>5</v>
      </c>
      <c r="B28" t="s">
        <v>37</v>
      </c>
    </row>
    <row r="29" spans="1:3" x14ac:dyDescent="0.25">
      <c r="A29" t="s">
        <v>6</v>
      </c>
      <c r="B29" t="s">
        <v>38</v>
      </c>
    </row>
    <row r="30" spans="1:3" x14ac:dyDescent="0.25">
      <c r="A30" t="s">
        <v>7</v>
      </c>
      <c r="B30" t="s">
        <v>39</v>
      </c>
    </row>
    <row r="31" spans="1:3" x14ac:dyDescent="0.25">
      <c r="A31" t="s">
        <v>60</v>
      </c>
      <c r="B31" t="s">
        <v>281</v>
      </c>
    </row>
    <row r="32" spans="1:3" x14ac:dyDescent="0.25">
      <c r="A32" t="s">
        <v>8</v>
      </c>
      <c r="B32" t="s">
        <v>40</v>
      </c>
    </row>
    <row r="33" spans="1:3" x14ac:dyDescent="0.25">
      <c r="A33" t="s">
        <v>28</v>
      </c>
      <c r="B33" t="s">
        <v>41</v>
      </c>
    </row>
    <row r="34" spans="1:3" x14ac:dyDescent="0.25">
      <c r="A34" t="s">
        <v>95</v>
      </c>
      <c r="B34" t="s">
        <v>118</v>
      </c>
      <c r="C34" t="s">
        <v>119</v>
      </c>
    </row>
    <row r="35" spans="1:3" x14ac:dyDescent="0.25">
      <c r="A35" t="s">
        <v>96</v>
      </c>
      <c r="B35" t="s">
        <v>120</v>
      </c>
      <c r="C35" t="s">
        <v>121</v>
      </c>
    </row>
    <row r="36" spans="1:3" x14ac:dyDescent="0.25">
      <c r="A36" t="s">
        <v>97</v>
      </c>
      <c r="B36" t="s">
        <v>122</v>
      </c>
      <c r="C36" t="s">
        <v>121</v>
      </c>
    </row>
    <row r="37" spans="1:3" x14ac:dyDescent="0.25">
      <c r="A37" t="s">
        <v>98</v>
      </c>
      <c r="B37" t="s">
        <v>123</v>
      </c>
      <c r="C37" t="s">
        <v>124</v>
      </c>
    </row>
    <row r="38" spans="1:3" x14ac:dyDescent="0.25">
      <c r="A38" t="s">
        <v>99</v>
      </c>
      <c r="B38" t="s">
        <v>125</v>
      </c>
    </row>
    <row r="39" spans="1:3" x14ac:dyDescent="0.25">
      <c r="B39"/>
    </row>
    <row r="40" spans="1:3" x14ac:dyDescent="0.25">
      <c r="B40"/>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Recordings_overview</vt:lpstr>
      <vt:lpstr>Manual_measurements</vt:lpstr>
      <vt:lpstr>Sampling_trips_overview</vt:lpstr>
      <vt:lpstr>Deployment_times</vt:lpstr>
      <vt:lpstr>TinyTag_Distribution</vt:lpstr>
      <vt:lpstr>Sampling_sites</vt:lpstr>
      <vt:lpstr>Legend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2026-09-11T11:10:44Z</dcterms:modified>
</cp:coreProperties>
</file>