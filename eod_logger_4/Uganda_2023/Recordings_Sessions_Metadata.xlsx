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Projects\EOD_pulse_analysis\eod_logger_4\Uganda_2023\"/>
    </mc:Choice>
  </mc:AlternateContent>
  <xr:revisionPtr revIDLastSave="0" documentId="13_ncr:1_{AEF610D6-F8B8-4E3C-8BE1-3EECAB7BE294}" xr6:coauthVersionLast="36" xr6:coauthVersionMax="47" xr10:uidLastSave="{00000000-0000-0000-0000-000000000000}"/>
  <bookViews>
    <workbookView xWindow="14400" yWindow="0" windowWidth="24090" windowHeight="20970" xr2:uid="{1B50041A-606E-4BAA-8BC2-5A1CB87C2F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5" i="1" l="1"/>
  <c r="O54" i="1"/>
  <c r="O45" i="1"/>
  <c r="O35" i="1"/>
  <c r="O24" i="1"/>
  <c r="O15" i="1"/>
  <c r="O14" i="1"/>
  <c r="O53" i="1"/>
  <c r="O43" i="1"/>
  <c r="O33" i="1"/>
  <c r="O64" i="1"/>
  <c r="O52" i="1"/>
  <c r="O44" i="1"/>
  <c r="O34" i="1"/>
  <c r="O25" i="1"/>
  <c r="O16" i="1"/>
  <c r="O7" i="1"/>
  <c r="O2" i="1"/>
  <c r="O67" i="1"/>
  <c r="O58" i="1"/>
  <c r="O47" i="1"/>
  <c r="O37" i="1"/>
  <c r="O27" i="1"/>
  <c r="O17" i="1"/>
  <c r="O8" i="1"/>
  <c r="O4" i="1"/>
  <c r="O66" i="1"/>
  <c r="O57" i="1"/>
  <c r="O46" i="1"/>
  <c r="O36" i="1"/>
  <c r="O26" i="1"/>
  <c r="O18" i="1"/>
  <c r="O9" i="1"/>
  <c r="O3" i="1"/>
  <c r="O72" i="1"/>
  <c r="O61" i="1"/>
  <c r="O39" i="1"/>
  <c r="O28" i="1"/>
  <c r="O19" i="1"/>
  <c r="O13" i="1"/>
  <c r="O71" i="1"/>
  <c r="O60" i="1"/>
  <c r="O49" i="1"/>
  <c r="O38" i="1"/>
  <c r="O29" i="1"/>
  <c r="O20" i="1"/>
  <c r="O12" i="1"/>
  <c r="O62" i="1"/>
  <c r="O50" i="1"/>
  <c r="O42" i="1"/>
  <c r="O32" i="1"/>
  <c r="O23" i="1"/>
  <c r="O11" i="1"/>
  <c r="O5" i="1"/>
  <c r="O68" i="1"/>
  <c r="O56" i="1"/>
  <c r="O69" i="1"/>
  <c r="O55" i="1"/>
  <c r="O70" i="1"/>
  <c r="O59" i="1"/>
  <c r="O48" i="1"/>
  <c r="O40" i="1"/>
  <c r="O30" i="1"/>
  <c r="O21" i="1"/>
  <c r="O73" i="1"/>
  <c r="O63" i="1"/>
  <c r="O51" i="1"/>
  <c r="O41" i="1"/>
  <c r="O31" i="1"/>
  <c r="O22" i="1"/>
  <c r="O10" i="1"/>
  <c r="O6" i="1"/>
</calcChain>
</file>

<file path=xl/sharedStrings.xml><?xml version="1.0" encoding="utf-8"?>
<sst xmlns="http://schemas.openxmlformats.org/spreadsheetml/2006/main" count="772" uniqueCount="119">
  <si>
    <t>System</t>
  </si>
  <si>
    <t>Site</t>
  </si>
  <si>
    <t>Start_Date</t>
  </si>
  <si>
    <t>End_Date</t>
  </si>
  <si>
    <t>Logger_ID</t>
  </si>
  <si>
    <t>t_first_rec_start</t>
  </si>
  <si>
    <t>t_last_rec_end</t>
  </si>
  <si>
    <t>Recorded_dur_h</t>
  </si>
  <si>
    <t>Gain_factor</t>
  </si>
  <si>
    <t>events_thresh</t>
  </si>
  <si>
    <t>BP_FFT_high_cutoff</t>
  </si>
  <si>
    <t>Notes</t>
  </si>
  <si>
    <t>PL</t>
  </si>
  <si>
    <t>PLP</t>
  </si>
  <si>
    <t>L1</t>
  </si>
  <si>
    <t>SL</t>
  </si>
  <si>
    <t>SLP</t>
  </si>
  <si>
    <t>Surface</t>
  </si>
  <si>
    <t>13kHz</t>
  </si>
  <si>
    <t>Orthogonal</t>
  </si>
  <si>
    <t>Logger has surfaced - check light logger data</t>
  </si>
  <si>
    <t>PLS</t>
  </si>
  <si>
    <t>L10</t>
  </si>
  <si>
    <t>LN</t>
  </si>
  <si>
    <t>LN12</t>
  </si>
  <si>
    <t>L11</t>
  </si>
  <si>
    <t>Point</t>
  </si>
  <si>
    <t>0.02+0.01</t>
  </si>
  <si>
    <t>LN17</t>
  </si>
  <si>
    <t>0.005 + 0.002</t>
  </si>
  <si>
    <t>0.01 + 0.002</t>
  </si>
  <si>
    <t>Logger was prepared for River -&gt; only 10x gain</t>
  </si>
  <si>
    <t>LN13</t>
  </si>
  <si>
    <t>L12</t>
  </si>
  <si>
    <t>JR</t>
  </si>
  <si>
    <t>JR2</t>
  </si>
  <si>
    <t>Parallel</t>
  </si>
  <si>
    <t>L2</t>
  </si>
  <si>
    <t>Ground</t>
  </si>
  <si>
    <t>Phase-locking / co-bursting!</t>
  </si>
  <si>
    <t>L3</t>
  </si>
  <si>
    <t>Flooded</t>
  </si>
  <si>
    <t>Electrode-holding stick was moved, possibly due to the storm</t>
  </si>
  <si>
    <t>L4</t>
  </si>
  <si>
    <t>Lost time - corrected via crosscorrelation with L3 file</t>
  </si>
  <si>
    <t>Lost time, deleted the same number of files as for logger 3; crosscorr with L3 file, new timestamp: 08/11/2023  12:12:33</t>
  </si>
  <si>
    <t>JR1</t>
  </si>
  <si>
    <t>L5</t>
  </si>
  <si>
    <t>Electrode cable completely parallel to L6 because of higher current</t>
  </si>
  <si>
    <t>L6</t>
  </si>
  <si>
    <t>Lost time, correlated with L5 file, new first timestamp: 30/10/2023  10:44:30</t>
  </si>
  <si>
    <t>Lost time, correlated with L5 file, new first timestamp: 06/11/2023  11:13:32</t>
  </si>
  <si>
    <t>LN1</t>
  </si>
  <si>
    <t>L7</t>
  </si>
  <si>
    <t>0.02 + 0.04</t>
  </si>
  <si>
    <t>High cutoff 13kHz -&gt; Noise detected, clean up events</t>
  </si>
  <si>
    <t>LN2</t>
  </si>
  <si>
    <t>LN3</t>
  </si>
  <si>
    <t>LN4</t>
  </si>
  <si>
    <t>Lost time, correlated to L8 file, new_first_timestamp: 30/10/2023 10:14</t>
  </si>
  <si>
    <t>LN6</t>
  </si>
  <si>
    <t>LN7</t>
  </si>
  <si>
    <t>LN9</t>
  </si>
  <si>
    <t>LN14</t>
  </si>
  <si>
    <t>tried with 0.01 thresholds, only more noise</t>
  </si>
  <si>
    <t>L8</t>
  </si>
  <si>
    <t>LN5</t>
  </si>
  <si>
    <t>LN8</t>
  </si>
  <si>
    <t>almost nothing, weird noise</t>
  </si>
  <si>
    <t>LN10</t>
  </si>
  <si>
    <t>channel 1 goes dead in file L8-20231121T144747 - maybe due to lightning?? The logger had recorded more than 24h before, removed recordings with dead channel.</t>
  </si>
  <si>
    <t>L9</t>
  </si>
  <si>
    <t>LNI1</t>
  </si>
  <si>
    <t>0.01+0.02</t>
  </si>
  <si>
    <t>LNI2</t>
  </si>
  <si>
    <t>LNI3</t>
  </si>
  <si>
    <t>LNI4</t>
  </si>
  <si>
    <t>LN11</t>
  </si>
  <si>
    <t>LN16</t>
  </si>
  <si>
    <t>Extraction_Threshold</t>
  </si>
  <si>
    <t>Lost time, crosscorr with L2 file, new timestamp: 15/11/2023  13:59:11</t>
  </si>
  <si>
    <t>Only recorded until 3am</t>
  </si>
  <si>
    <t>channel 8 data missing</t>
  </si>
  <si>
    <t>Long pulses were not detected - re-ran detection with new parameters</t>
  </si>
  <si>
    <t>GPS_UTM_36M_East</t>
  </si>
  <si>
    <t>GPS_UTM_36M_North</t>
  </si>
  <si>
    <t>Ch_0</t>
  </si>
  <si>
    <t>Vertical_location</t>
  </si>
  <si>
    <t>Orientation</t>
  </si>
  <si>
    <t>Horizontal</t>
  </si>
  <si>
    <t>Vertical</t>
  </si>
  <si>
    <t>Direction</t>
  </si>
  <si>
    <t>Middle</t>
  </si>
  <si>
    <t>Below_surface</t>
  </si>
  <si>
    <t>Range</t>
  </si>
  <si>
    <t>Ch_7</t>
  </si>
  <si>
    <t>Shore</t>
  </si>
  <si>
    <t>Vegetation</t>
  </si>
  <si>
    <t>Open_Surface</t>
  </si>
  <si>
    <t>Open</t>
  </si>
  <si>
    <t>Cover</t>
  </si>
  <si>
    <t>Open_Ground</t>
  </si>
  <si>
    <t>Vegetation_cover_edge_ch</t>
  </si>
  <si>
    <t>Dominant_veg</t>
  </si>
  <si>
    <t>Papyrus</t>
  </si>
  <si>
    <t>Papyrus, Grass</t>
  </si>
  <si>
    <t>Miscanthidium</t>
  </si>
  <si>
    <t>Miscanthidium, Lillies</t>
  </si>
  <si>
    <t>water lillies, heavy rain</t>
  </si>
  <si>
    <t>Grass, Trees</t>
  </si>
  <si>
    <t>None</t>
  </si>
  <si>
    <t>Hippograss, Palm</t>
  </si>
  <si>
    <t>Papyrus, Hippograss</t>
  </si>
  <si>
    <t>Hippograss</t>
  </si>
  <si>
    <t>Trees, Hippograss</t>
  </si>
  <si>
    <t>Miscanthidium, Hippograss</t>
  </si>
  <si>
    <t>Lillies, Hippograss</t>
  </si>
  <si>
    <t>Lillies</t>
  </si>
  <si>
    <t>Trees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</si>
</sst>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14" fontId="0" fillId="0" borderId="0" xfId="0" applyNumberFormat="1" applyBorder="1"/>
    <xf numFmtId="164" fontId="0" fillId="0" borderId="0" xfId="0" applyNumberFormat="1" applyFill="1" applyBorder="1"/>
    <xf numFmtId="0" fontId="0" fillId="0" borderId="0" xfId="0" applyFill="1" applyBorder="1"/>
    <xf numFmtId="14" fontId="0" fillId="3" borderId="0" xfId="0" applyNumberFormat="1" applyFill="1" applyBorder="1"/>
    <xf numFmtId="0" fontId="0" fillId="3" borderId="0" xfId="0" applyFill="1" applyBorder="1"/>
    <xf numFmtId="164" fontId="0" fillId="3" borderId="0" xfId="0" applyNumberFormat="1" applyFill="1" applyBorder="1"/>
    <xf numFmtId="164" fontId="0" fillId="0" borderId="0" xfId="0" applyNumberFormat="1" applyBorder="1"/>
    <xf numFmtId="0" fontId="0" fillId="0" borderId="0" xfId="0" applyNumberFormat="1" applyBorder="1"/>
    <xf numFmtId="49" fontId="0" fillId="0" borderId="0" xfId="0" applyNumberFormat="1" applyBorder="1"/>
    <xf numFmtId="14" fontId="0" fillId="0" borderId="0" xfId="0" applyNumberFormat="1" applyFill="1" applyBorder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4DF18-2126-4684-B12F-60ED5D48E1F2}">
  <dimension ref="A1:V73"/>
  <sheetViews>
    <sheetView tabSelected="1" workbookViewId="0">
      <selection activeCell="K33" sqref="K33"/>
    </sheetView>
  </sheetViews>
  <sheetFormatPr defaultColWidth="8.7265625" defaultRowHeight="14.5" x14ac:dyDescent="0.35"/>
  <cols>
    <col min="3" max="3" width="10.453125" bestFit="1" customWidth="1"/>
    <col min="4" max="4" width="10.7265625" bestFit="1" customWidth="1"/>
    <col min="6" max="6" width="10.26953125" bestFit="1" customWidth="1"/>
    <col min="7" max="7" width="17.81640625" bestFit="1" customWidth="1"/>
    <col min="8" max="8" width="14.7265625" bestFit="1" customWidth="1"/>
    <col min="9" max="9" width="12.54296875" bestFit="1" customWidth="1"/>
    <col min="10" max="10" width="12.7265625" style="4" bestFit="1" customWidth="1"/>
    <col min="11" max="11" width="23.453125" style="4" bestFit="1" customWidth="1"/>
    <col min="12" max="12" width="18.7265625" style="4" bestFit="1" customWidth="1"/>
    <col min="13" max="13" width="18.26953125" bestFit="1" customWidth="1"/>
    <col min="14" max="14" width="18.54296875" bestFit="1" customWidth="1"/>
    <col min="22" max="22" width="139.0898437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88</v>
      </c>
      <c r="G1" s="1" t="s">
        <v>91</v>
      </c>
      <c r="H1" s="1" t="s">
        <v>87</v>
      </c>
      <c r="I1" s="1" t="s">
        <v>86</v>
      </c>
      <c r="J1" s="4" t="s">
        <v>95</v>
      </c>
      <c r="K1" s="4" t="s">
        <v>102</v>
      </c>
      <c r="L1" s="4" t="s">
        <v>103</v>
      </c>
      <c r="M1" s="8" t="s">
        <v>5</v>
      </c>
      <c r="N1" s="8" t="s">
        <v>6</v>
      </c>
      <c r="O1" s="1" t="s">
        <v>7</v>
      </c>
      <c r="P1" s="1" t="s">
        <v>8</v>
      </c>
      <c r="Q1" s="1" t="s">
        <v>79</v>
      </c>
      <c r="R1" s="1" t="s">
        <v>9</v>
      </c>
      <c r="S1" s="1" t="s">
        <v>10</v>
      </c>
      <c r="T1" s="10" t="s">
        <v>84</v>
      </c>
      <c r="U1" s="10" t="s">
        <v>85</v>
      </c>
      <c r="V1" s="1" t="s">
        <v>11</v>
      </c>
    </row>
    <row r="2" spans="1:22" x14ac:dyDescent="0.35">
      <c r="A2" s="1" t="s">
        <v>23</v>
      </c>
      <c r="B2" s="1" t="s">
        <v>52</v>
      </c>
      <c r="C2" s="2">
        <v>45208</v>
      </c>
      <c r="D2" s="2">
        <v>45210</v>
      </c>
      <c r="E2" s="1" t="s">
        <v>53</v>
      </c>
      <c r="F2" s="4" t="s">
        <v>89</v>
      </c>
      <c r="G2" s="1" t="s">
        <v>19</v>
      </c>
      <c r="H2" s="4" t="s">
        <v>93</v>
      </c>
      <c r="I2" s="4" t="s">
        <v>96</v>
      </c>
      <c r="J2" s="4" t="s">
        <v>99</v>
      </c>
      <c r="K2" s="4">
        <v>0</v>
      </c>
      <c r="L2" s="4" t="s">
        <v>104</v>
      </c>
      <c r="M2" s="3">
        <v>45208.478182870371</v>
      </c>
      <c r="N2" s="3">
        <v>45209.742094907408</v>
      </c>
      <c r="O2" s="1">
        <f>(N2-M2)*24</f>
        <v>30.333888888882939</v>
      </c>
      <c r="P2" s="1">
        <v>100</v>
      </c>
      <c r="Q2" s="4">
        <v>0.02</v>
      </c>
      <c r="R2" s="4" t="s">
        <v>54</v>
      </c>
      <c r="S2" s="4" t="s">
        <v>18</v>
      </c>
      <c r="T2" s="9">
        <v>373860</v>
      </c>
      <c r="U2" s="9">
        <v>9959143</v>
      </c>
      <c r="V2" s="1" t="s">
        <v>55</v>
      </c>
    </row>
    <row r="3" spans="1:22" x14ac:dyDescent="0.35">
      <c r="A3" s="1" t="s">
        <v>34</v>
      </c>
      <c r="B3" s="1" t="s">
        <v>46</v>
      </c>
      <c r="C3" s="2">
        <v>45210</v>
      </c>
      <c r="D3" s="2">
        <v>45212</v>
      </c>
      <c r="E3" s="1" t="s">
        <v>47</v>
      </c>
      <c r="F3" s="4" t="s">
        <v>89</v>
      </c>
      <c r="G3" s="1" t="s">
        <v>19</v>
      </c>
      <c r="H3" s="4" t="s">
        <v>92</v>
      </c>
      <c r="I3" s="4" t="s">
        <v>96</v>
      </c>
      <c r="J3" s="4" t="s">
        <v>99</v>
      </c>
      <c r="K3" s="4">
        <v>2</v>
      </c>
      <c r="L3" s="4" t="s">
        <v>105</v>
      </c>
      <c r="M3" s="3">
        <v>45210.385462962964</v>
      </c>
      <c r="N3" s="3">
        <v>45211.753541666665</v>
      </c>
      <c r="O3" s="1">
        <f>(N3-M3)*24</f>
        <v>32.833888888824731</v>
      </c>
      <c r="P3" s="1">
        <v>10</v>
      </c>
      <c r="Q3" s="4">
        <v>5.0000000000000001E-3</v>
      </c>
      <c r="R3" s="4">
        <v>0.01</v>
      </c>
      <c r="S3" s="4" t="s">
        <v>18</v>
      </c>
      <c r="T3" s="9">
        <v>374592</v>
      </c>
      <c r="U3" s="9">
        <v>9959763</v>
      </c>
      <c r="V3" s="1"/>
    </row>
    <row r="4" spans="1:22" x14ac:dyDescent="0.35">
      <c r="A4" s="1" t="s">
        <v>34</v>
      </c>
      <c r="B4" s="1" t="s">
        <v>46</v>
      </c>
      <c r="C4" s="2">
        <v>45210</v>
      </c>
      <c r="D4" s="2">
        <v>45212</v>
      </c>
      <c r="E4" s="1" t="s">
        <v>49</v>
      </c>
      <c r="F4" s="4" t="s">
        <v>89</v>
      </c>
      <c r="G4" s="1" t="s">
        <v>36</v>
      </c>
      <c r="H4" s="4" t="s">
        <v>92</v>
      </c>
      <c r="I4" s="4" t="s">
        <v>96</v>
      </c>
      <c r="J4" s="4" t="s">
        <v>99</v>
      </c>
      <c r="K4" s="4">
        <v>7</v>
      </c>
      <c r="L4" s="4" t="s">
        <v>105</v>
      </c>
      <c r="M4" s="3">
        <v>45210.4062962963</v>
      </c>
      <c r="N4" s="3">
        <v>45211.704884259256</v>
      </c>
      <c r="O4" s="1">
        <f>(N4-M4)*24</f>
        <v>31.166111110942438</v>
      </c>
      <c r="P4" s="1">
        <v>10</v>
      </c>
      <c r="Q4" s="4">
        <v>5.0000000000000001E-3</v>
      </c>
      <c r="R4" s="4">
        <v>0.01</v>
      </c>
      <c r="S4" s="4" t="s">
        <v>18</v>
      </c>
      <c r="T4" s="9">
        <v>374592</v>
      </c>
      <c r="U4" s="9">
        <v>9959763</v>
      </c>
      <c r="V4" s="1"/>
    </row>
    <row r="5" spans="1:22" x14ac:dyDescent="0.35">
      <c r="A5" s="1" t="s">
        <v>15</v>
      </c>
      <c r="B5" s="1" t="s">
        <v>16</v>
      </c>
      <c r="C5" s="2">
        <v>45210</v>
      </c>
      <c r="D5" s="2">
        <v>45212</v>
      </c>
      <c r="E5" s="1" t="s">
        <v>37</v>
      </c>
      <c r="F5" s="4" t="s">
        <v>89</v>
      </c>
      <c r="G5" s="1" t="s">
        <v>19</v>
      </c>
      <c r="H5" s="1" t="s">
        <v>38</v>
      </c>
      <c r="I5" s="4" t="s">
        <v>97</v>
      </c>
      <c r="J5" s="4" t="s">
        <v>99</v>
      </c>
      <c r="K5" s="4">
        <v>4</v>
      </c>
      <c r="L5" s="4" t="s">
        <v>106</v>
      </c>
      <c r="M5" s="3">
        <v>45210.620173611111</v>
      </c>
      <c r="N5" s="3">
        <v>45211.946550925924</v>
      </c>
      <c r="O5" s="1">
        <f>(N5-M5)*24</f>
        <v>31.833055555529427</v>
      </c>
      <c r="P5" s="1">
        <v>10</v>
      </c>
      <c r="Q5" s="4">
        <v>5.0000000000000001E-3</v>
      </c>
      <c r="R5" s="4">
        <v>0.01</v>
      </c>
      <c r="S5" s="4" t="s">
        <v>18</v>
      </c>
      <c r="T5" s="9">
        <v>382134</v>
      </c>
      <c r="U5" s="9">
        <v>9964854</v>
      </c>
      <c r="V5" s="1" t="s">
        <v>39</v>
      </c>
    </row>
    <row r="6" spans="1:22" x14ac:dyDescent="0.35">
      <c r="A6" s="1" t="s">
        <v>15</v>
      </c>
      <c r="B6" s="1" t="s">
        <v>16</v>
      </c>
      <c r="C6" s="2">
        <v>45210</v>
      </c>
      <c r="D6" s="2">
        <v>45212</v>
      </c>
      <c r="E6" s="1" t="s">
        <v>14</v>
      </c>
      <c r="F6" s="4" t="s">
        <v>89</v>
      </c>
      <c r="G6" s="1" t="s">
        <v>19</v>
      </c>
      <c r="H6" s="1" t="s">
        <v>17</v>
      </c>
      <c r="I6" s="4" t="s">
        <v>97</v>
      </c>
      <c r="J6" s="4" t="s">
        <v>99</v>
      </c>
      <c r="K6" s="4">
        <v>4</v>
      </c>
      <c r="L6" s="4" t="s">
        <v>106</v>
      </c>
      <c r="M6" s="3">
        <v>45210.711157407408</v>
      </c>
      <c r="N6" s="3">
        <v>45212.113923611112</v>
      </c>
      <c r="O6" s="1">
        <f>(N6-M6)*24</f>
        <v>33.666388888901565</v>
      </c>
      <c r="P6" s="1">
        <v>10</v>
      </c>
      <c r="Q6" s="4">
        <v>5.0000000000000001E-3</v>
      </c>
      <c r="R6" s="4">
        <v>0.01</v>
      </c>
      <c r="S6" s="4" t="s">
        <v>18</v>
      </c>
      <c r="T6" s="9">
        <v>382134</v>
      </c>
      <c r="U6" s="9">
        <v>9964854</v>
      </c>
      <c r="V6" s="1"/>
    </row>
    <row r="7" spans="1:22" x14ac:dyDescent="0.35">
      <c r="A7" s="1" t="s">
        <v>23</v>
      </c>
      <c r="B7" s="1" t="s">
        <v>56</v>
      </c>
      <c r="C7" s="2">
        <v>45215</v>
      </c>
      <c r="D7" s="2">
        <v>45217</v>
      </c>
      <c r="E7" s="1" t="s">
        <v>53</v>
      </c>
      <c r="F7" s="4" t="s">
        <v>89</v>
      </c>
      <c r="G7" s="1" t="s">
        <v>19</v>
      </c>
      <c r="H7" s="4" t="s">
        <v>93</v>
      </c>
      <c r="I7" s="4" t="s">
        <v>96</v>
      </c>
      <c r="J7" s="4" t="s">
        <v>99</v>
      </c>
      <c r="K7" s="4">
        <v>7</v>
      </c>
      <c r="L7" s="4" t="s">
        <v>107</v>
      </c>
      <c r="M7" s="3">
        <v>45215.400196759256</v>
      </c>
      <c r="N7" s="3">
        <v>45216.7266087963</v>
      </c>
      <c r="O7" s="1">
        <f>(N7-M7)*24</f>
        <v>31.833888889057562</v>
      </c>
      <c r="P7" s="1">
        <v>100</v>
      </c>
      <c r="Q7" s="4">
        <v>0.02</v>
      </c>
      <c r="R7" s="4" t="s">
        <v>54</v>
      </c>
      <c r="S7" s="4" t="s">
        <v>18</v>
      </c>
      <c r="T7" s="9">
        <v>374320</v>
      </c>
      <c r="U7" s="9">
        <v>9957429</v>
      </c>
      <c r="V7" s="1" t="s">
        <v>108</v>
      </c>
    </row>
    <row r="8" spans="1:22" x14ac:dyDescent="0.35">
      <c r="A8" s="1" t="s">
        <v>34</v>
      </c>
      <c r="B8" s="1" t="s">
        <v>46</v>
      </c>
      <c r="C8" s="2">
        <v>45215</v>
      </c>
      <c r="D8" s="2">
        <v>45217</v>
      </c>
      <c r="E8" s="1" t="s">
        <v>49</v>
      </c>
      <c r="F8" s="4" t="s">
        <v>89</v>
      </c>
      <c r="G8" s="1" t="s">
        <v>36</v>
      </c>
      <c r="H8" s="4" t="s">
        <v>92</v>
      </c>
      <c r="I8" s="4" t="s">
        <v>96</v>
      </c>
      <c r="J8" s="4" t="s">
        <v>99</v>
      </c>
      <c r="K8" s="4">
        <v>7</v>
      </c>
      <c r="L8" s="4" t="s">
        <v>105</v>
      </c>
      <c r="M8" s="3">
        <v>45215.428969907407</v>
      </c>
      <c r="N8" s="3">
        <v>45216.741446759261</v>
      </c>
      <c r="O8" s="1">
        <f>(N8-M8)*24</f>
        <v>31.4994444444892</v>
      </c>
      <c r="P8" s="1">
        <v>10</v>
      </c>
      <c r="Q8" s="4">
        <v>5.0000000000000001E-3</v>
      </c>
      <c r="R8" s="4">
        <v>0.01</v>
      </c>
      <c r="S8" s="4" t="s">
        <v>18</v>
      </c>
      <c r="T8" s="9">
        <v>374592</v>
      </c>
      <c r="U8" s="9">
        <v>9959763</v>
      </c>
      <c r="V8" s="1"/>
    </row>
    <row r="9" spans="1:22" x14ac:dyDescent="0.35">
      <c r="A9" s="1" t="s">
        <v>34</v>
      </c>
      <c r="B9" s="1" t="s">
        <v>46</v>
      </c>
      <c r="C9" s="2">
        <v>45215</v>
      </c>
      <c r="D9" s="2">
        <v>45217</v>
      </c>
      <c r="E9" s="1" t="s">
        <v>47</v>
      </c>
      <c r="F9" s="4" t="s">
        <v>89</v>
      </c>
      <c r="G9" s="1" t="s">
        <v>19</v>
      </c>
      <c r="H9" s="4" t="s">
        <v>92</v>
      </c>
      <c r="I9" s="4" t="s">
        <v>96</v>
      </c>
      <c r="J9" s="4" t="s">
        <v>99</v>
      </c>
      <c r="K9" s="4">
        <v>2</v>
      </c>
      <c r="L9" s="4" t="s">
        <v>105</v>
      </c>
      <c r="M9" s="3">
        <v>45215.429189814815</v>
      </c>
      <c r="N9" s="3">
        <v>45216.665312500001</v>
      </c>
      <c r="O9" s="1">
        <f>(N9-M9)*24</f>
        <v>29.666944444470573</v>
      </c>
      <c r="P9" s="1">
        <v>10</v>
      </c>
      <c r="Q9" s="4">
        <v>5.0000000000000001E-3</v>
      </c>
      <c r="R9" s="4">
        <v>0.01</v>
      </c>
      <c r="S9" s="4" t="s">
        <v>18</v>
      </c>
      <c r="T9" s="9">
        <v>374592</v>
      </c>
      <c r="U9" s="9">
        <v>9959763</v>
      </c>
      <c r="V9" s="1"/>
    </row>
    <row r="10" spans="1:22" x14ac:dyDescent="0.35">
      <c r="A10" s="1" t="s">
        <v>15</v>
      </c>
      <c r="B10" s="1" t="s">
        <v>16</v>
      </c>
      <c r="C10" s="2">
        <v>45217</v>
      </c>
      <c r="D10" s="2">
        <v>45219</v>
      </c>
      <c r="E10" s="1" t="s">
        <v>14</v>
      </c>
      <c r="F10" s="4" t="s">
        <v>89</v>
      </c>
      <c r="G10" s="1" t="s">
        <v>19</v>
      </c>
      <c r="H10" s="1" t="s">
        <v>17</v>
      </c>
      <c r="I10" s="4" t="s">
        <v>97</v>
      </c>
      <c r="J10" s="4" t="s">
        <v>99</v>
      </c>
      <c r="K10" s="4">
        <v>4</v>
      </c>
      <c r="L10" s="4" t="s">
        <v>106</v>
      </c>
      <c r="M10" s="3">
        <v>45217.512002314812</v>
      </c>
      <c r="N10" s="3">
        <v>45218.761979166666</v>
      </c>
      <c r="O10" s="1">
        <f>(N10-M10)*24</f>
        <v>29.9994444444892</v>
      </c>
      <c r="P10" s="1">
        <v>10</v>
      </c>
      <c r="Q10" s="4">
        <v>5.0000000000000001E-3</v>
      </c>
      <c r="R10" s="4">
        <v>0.01</v>
      </c>
      <c r="S10" s="4" t="s">
        <v>18</v>
      </c>
      <c r="T10" s="9">
        <v>382134</v>
      </c>
      <c r="U10" s="9">
        <v>9964854</v>
      </c>
      <c r="V10" s="4"/>
    </row>
    <row r="11" spans="1:22" x14ac:dyDescent="0.35">
      <c r="A11" s="1" t="s">
        <v>15</v>
      </c>
      <c r="B11" s="1" t="s">
        <v>16</v>
      </c>
      <c r="C11" s="2">
        <v>45217</v>
      </c>
      <c r="D11" s="2">
        <v>45219</v>
      </c>
      <c r="E11" s="1" t="s">
        <v>37</v>
      </c>
      <c r="F11" s="4" t="s">
        <v>89</v>
      </c>
      <c r="G11" s="1" t="s">
        <v>19</v>
      </c>
      <c r="H11" s="1" t="s">
        <v>38</v>
      </c>
      <c r="I11" s="4" t="s">
        <v>97</v>
      </c>
      <c r="J11" s="4" t="s">
        <v>99</v>
      </c>
      <c r="K11" s="4">
        <v>4</v>
      </c>
      <c r="L11" s="4" t="s">
        <v>106</v>
      </c>
      <c r="M11" s="3">
        <v>45217.512083333335</v>
      </c>
      <c r="N11" s="3">
        <v>45218.838449074072</v>
      </c>
      <c r="O11" s="1">
        <f>(N11-M11)*24</f>
        <v>31.832777777686715</v>
      </c>
      <c r="P11" s="1">
        <v>10</v>
      </c>
      <c r="Q11" s="4">
        <v>5.0000000000000001E-3</v>
      </c>
      <c r="R11" s="4">
        <v>0.01</v>
      </c>
      <c r="S11" s="4" t="s">
        <v>18</v>
      </c>
      <c r="T11" s="9">
        <v>382134</v>
      </c>
      <c r="U11" s="9">
        <v>9964854</v>
      </c>
      <c r="V11" s="4"/>
    </row>
    <row r="12" spans="1:22" x14ac:dyDescent="0.35">
      <c r="A12" s="1" t="s">
        <v>12</v>
      </c>
      <c r="B12" s="1" t="s">
        <v>13</v>
      </c>
      <c r="C12" s="2">
        <v>45217</v>
      </c>
      <c r="D12" s="2">
        <v>45219</v>
      </c>
      <c r="E12" s="1" t="s">
        <v>40</v>
      </c>
      <c r="F12" s="4" t="s">
        <v>89</v>
      </c>
      <c r="G12" s="1" t="s">
        <v>19</v>
      </c>
      <c r="H12" s="1" t="s">
        <v>38</v>
      </c>
      <c r="I12" s="4" t="s">
        <v>97</v>
      </c>
      <c r="J12" s="4" t="s">
        <v>99</v>
      </c>
      <c r="K12" s="4">
        <v>3</v>
      </c>
      <c r="L12" s="4" t="s">
        <v>106</v>
      </c>
      <c r="M12" s="3">
        <v>45217.540046296293</v>
      </c>
      <c r="N12" s="3">
        <v>45218.810856481483</v>
      </c>
      <c r="O12" s="1">
        <f>(N12-M12)*24</f>
        <v>30.499444444547407</v>
      </c>
      <c r="P12" s="1">
        <v>10</v>
      </c>
      <c r="Q12" s="4">
        <v>5.0000000000000001E-3</v>
      </c>
      <c r="R12" s="4">
        <v>0.01</v>
      </c>
      <c r="S12" s="4" t="s">
        <v>18</v>
      </c>
      <c r="T12" s="9">
        <v>382794</v>
      </c>
      <c r="U12" s="9">
        <v>9964774</v>
      </c>
      <c r="V12" s="1"/>
    </row>
    <row r="13" spans="1:22" x14ac:dyDescent="0.35">
      <c r="A13" s="1" t="s">
        <v>12</v>
      </c>
      <c r="B13" s="1" t="s">
        <v>13</v>
      </c>
      <c r="C13" s="2">
        <v>45217</v>
      </c>
      <c r="D13" s="2">
        <v>45219</v>
      </c>
      <c r="E13" s="1" t="s">
        <v>43</v>
      </c>
      <c r="F13" s="4" t="s">
        <v>89</v>
      </c>
      <c r="G13" s="1" t="s">
        <v>19</v>
      </c>
      <c r="H13" s="1" t="s">
        <v>17</v>
      </c>
      <c r="I13" s="4" t="s">
        <v>97</v>
      </c>
      <c r="J13" s="4" t="s">
        <v>99</v>
      </c>
      <c r="K13" s="4">
        <v>3</v>
      </c>
      <c r="L13" s="4" t="s">
        <v>106</v>
      </c>
      <c r="M13" s="3">
        <v>45217.540162037039</v>
      </c>
      <c r="N13" s="3">
        <v>45218.852685185186</v>
      </c>
      <c r="O13" s="1">
        <f>(N13-M13)*24</f>
        <v>31.5005555555108</v>
      </c>
      <c r="P13" s="1">
        <v>10</v>
      </c>
      <c r="Q13" s="4">
        <v>5.0000000000000001E-3</v>
      </c>
      <c r="R13" s="4">
        <v>0.01</v>
      </c>
      <c r="S13" s="4" t="s">
        <v>18</v>
      </c>
      <c r="T13" s="9">
        <v>382794</v>
      </c>
      <c r="U13" s="9">
        <v>9964774</v>
      </c>
      <c r="V13" s="1"/>
    </row>
    <row r="14" spans="1:22" x14ac:dyDescent="0.35">
      <c r="A14" s="1" t="s">
        <v>12</v>
      </c>
      <c r="B14" s="1" t="s">
        <v>21</v>
      </c>
      <c r="C14" s="2">
        <v>45217</v>
      </c>
      <c r="D14" s="2">
        <v>45219</v>
      </c>
      <c r="E14" s="1" t="s">
        <v>71</v>
      </c>
      <c r="F14" s="4" t="s">
        <v>89</v>
      </c>
      <c r="G14" s="1" t="s">
        <v>36</v>
      </c>
      <c r="H14" s="4" t="s">
        <v>93</v>
      </c>
      <c r="I14" s="6" t="s">
        <v>99</v>
      </c>
      <c r="J14" s="4" t="s">
        <v>100</v>
      </c>
      <c r="K14" s="4">
        <v>3</v>
      </c>
      <c r="L14" s="4" t="s">
        <v>109</v>
      </c>
      <c r="M14" s="3">
        <v>45217.554155092592</v>
      </c>
      <c r="N14" s="3">
        <v>45218.394421296296</v>
      </c>
      <c r="O14" s="1">
        <f>(N14-M14)*24</f>
        <v>20.166388888901565</v>
      </c>
      <c r="P14" s="1">
        <v>10</v>
      </c>
      <c r="Q14" s="4">
        <v>5.0000000000000001E-3</v>
      </c>
      <c r="R14" s="4">
        <v>0.01</v>
      </c>
      <c r="S14" s="4" t="s">
        <v>18</v>
      </c>
      <c r="T14" s="9">
        <v>382782</v>
      </c>
      <c r="U14" s="9">
        <v>9964814</v>
      </c>
      <c r="V14" s="1"/>
    </row>
    <row r="15" spans="1:22" x14ac:dyDescent="0.35">
      <c r="A15" s="1" t="s">
        <v>23</v>
      </c>
      <c r="B15" s="1" t="s">
        <v>72</v>
      </c>
      <c r="C15" s="2">
        <v>45222</v>
      </c>
      <c r="D15" s="2">
        <v>45224</v>
      </c>
      <c r="E15" s="1" t="s">
        <v>71</v>
      </c>
      <c r="F15" s="4" t="s">
        <v>89</v>
      </c>
      <c r="G15" s="1" t="s">
        <v>19</v>
      </c>
      <c r="H15" s="4" t="s">
        <v>93</v>
      </c>
      <c r="I15" s="4" t="s">
        <v>96</v>
      </c>
      <c r="J15" s="4" t="s">
        <v>99</v>
      </c>
      <c r="K15" s="4">
        <v>0</v>
      </c>
      <c r="L15" s="4" t="s">
        <v>104</v>
      </c>
      <c r="M15" s="3">
        <v>45222.367615740739</v>
      </c>
      <c r="N15" s="3">
        <v>45223.228715277779</v>
      </c>
      <c r="O15" s="1">
        <f>(N15-M15)*24</f>
        <v>20.666388888959773</v>
      </c>
      <c r="P15" s="1">
        <v>100</v>
      </c>
      <c r="Q15" s="4" t="s">
        <v>73</v>
      </c>
      <c r="R15" s="4" t="s">
        <v>73</v>
      </c>
      <c r="S15" s="4" t="s">
        <v>18</v>
      </c>
      <c r="T15" s="9">
        <v>374619</v>
      </c>
      <c r="U15" s="9">
        <v>9959621</v>
      </c>
      <c r="V15" s="1"/>
    </row>
    <row r="16" spans="1:22" x14ac:dyDescent="0.35">
      <c r="A16" s="1" t="s">
        <v>23</v>
      </c>
      <c r="B16" s="1" t="s">
        <v>57</v>
      </c>
      <c r="C16" s="2">
        <v>45222</v>
      </c>
      <c r="D16" s="2">
        <v>45224</v>
      </c>
      <c r="E16" s="1" t="s">
        <v>53</v>
      </c>
      <c r="F16" s="4" t="s">
        <v>89</v>
      </c>
      <c r="G16" s="1" t="s">
        <v>19</v>
      </c>
      <c r="H16" s="4" t="s">
        <v>93</v>
      </c>
      <c r="I16" s="4" t="s">
        <v>96</v>
      </c>
      <c r="J16" s="4" t="s">
        <v>99</v>
      </c>
      <c r="K16" s="4">
        <v>0</v>
      </c>
      <c r="L16" s="4" t="s">
        <v>112</v>
      </c>
      <c r="M16" s="8">
        <v>45222.398206018515</v>
      </c>
      <c r="N16" s="8">
        <v>45223.467673611114</v>
      </c>
      <c r="O16" s="1">
        <f>(N16-M16)*24</f>
        <v>25.667222222371493</v>
      </c>
      <c r="P16" s="1">
        <v>100</v>
      </c>
      <c r="Q16" s="4">
        <v>0.02</v>
      </c>
      <c r="R16" s="4">
        <v>0.02</v>
      </c>
      <c r="S16" s="4" t="s">
        <v>18</v>
      </c>
      <c r="T16" s="9">
        <v>374584</v>
      </c>
      <c r="U16" s="9">
        <v>9959720</v>
      </c>
      <c r="V16" s="4"/>
    </row>
    <row r="17" spans="1:22" x14ac:dyDescent="0.35">
      <c r="A17" s="1" t="s">
        <v>34</v>
      </c>
      <c r="B17" s="1" t="s">
        <v>46</v>
      </c>
      <c r="C17" s="11">
        <v>45222</v>
      </c>
      <c r="D17" s="11">
        <v>45224</v>
      </c>
      <c r="E17" s="4" t="s">
        <v>49</v>
      </c>
      <c r="F17" s="4" t="s">
        <v>89</v>
      </c>
      <c r="G17" s="4" t="s">
        <v>36</v>
      </c>
      <c r="H17" s="4" t="s">
        <v>92</v>
      </c>
      <c r="I17" s="4" t="s">
        <v>96</v>
      </c>
      <c r="J17" s="4" t="s">
        <v>99</v>
      </c>
      <c r="K17" s="4">
        <v>7</v>
      </c>
      <c r="L17" s="4" t="s">
        <v>105</v>
      </c>
      <c r="M17" s="3">
        <v>45222.420266203706</v>
      </c>
      <c r="N17" s="3">
        <v>45223.593854166669</v>
      </c>
      <c r="O17" s="4">
        <f>(N17-M17)*24</f>
        <v>28.166111111117061</v>
      </c>
      <c r="P17" s="4">
        <v>10</v>
      </c>
      <c r="Q17" s="4">
        <v>5.0000000000000001E-3</v>
      </c>
      <c r="R17" s="4">
        <v>0.01</v>
      </c>
      <c r="S17" s="4" t="s">
        <v>18</v>
      </c>
      <c r="T17" s="9">
        <v>374592</v>
      </c>
      <c r="U17" s="9">
        <v>9959763</v>
      </c>
      <c r="V17" s="1"/>
    </row>
    <row r="18" spans="1:22" x14ac:dyDescent="0.35">
      <c r="A18" s="1" t="s">
        <v>34</v>
      </c>
      <c r="B18" s="1" t="s">
        <v>46</v>
      </c>
      <c r="C18" s="5">
        <v>45222</v>
      </c>
      <c r="D18" s="5">
        <v>45224</v>
      </c>
      <c r="E18" s="6" t="s">
        <v>47</v>
      </c>
      <c r="F18" s="4" t="s">
        <v>89</v>
      </c>
      <c r="G18" s="6" t="s">
        <v>19</v>
      </c>
      <c r="H18" s="4" t="s">
        <v>92</v>
      </c>
      <c r="I18" s="4" t="s">
        <v>96</v>
      </c>
      <c r="J18" s="4" t="s">
        <v>99</v>
      </c>
      <c r="K18" s="4">
        <v>2</v>
      </c>
      <c r="L18" s="4" t="s">
        <v>105</v>
      </c>
      <c r="M18" s="7">
        <v>45222.421354166669</v>
      </c>
      <c r="N18" s="7">
        <v>45223.442199074074</v>
      </c>
      <c r="O18" s="6">
        <f>(N18-M18)*24</f>
        <v>24.500277777726296</v>
      </c>
      <c r="P18" s="6">
        <v>10</v>
      </c>
      <c r="Q18" s="4">
        <v>5.0000000000000001E-3</v>
      </c>
      <c r="R18" s="4">
        <v>0.01</v>
      </c>
      <c r="S18" s="4" t="s">
        <v>18</v>
      </c>
      <c r="T18" s="9">
        <v>374592</v>
      </c>
      <c r="U18" s="9">
        <v>9959763</v>
      </c>
      <c r="V18" s="6" t="s">
        <v>48</v>
      </c>
    </row>
    <row r="19" spans="1:22" x14ac:dyDescent="0.35">
      <c r="A19" s="1" t="s">
        <v>12</v>
      </c>
      <c r="B19" s="1" t="s">
        <v>13</v>
      </c>
      <c r="C19" s="2">
        <v>45224</v>
      </c>
      <c r="D19" s="2">
        <v>45226</v>
      </c>
      <c r="E19" s="1" t="s">
        <v>43</v>
      </c>
      <c r="F19" s="4" t="s">
        <v>89</v>
      </c>
      <c r="G19" s="1" t="s">
        <v>19</v>
      </c>
      <c r="H19" s="1" t="s">
        <v>17</v>
      </c>
      <c r="I19" s="4" t="s">
        <v>97</v>
      </c>
      <c r="J19" s="4" t="s">
        <v>99</v>
      </c>
      <c r="K19" s="4">
        <v>3</v>
      </c>
      <c r="L19" s="4" t="s">
        <v>106</v>
      </c>
      <c r="M19" s="8">
        <v>45224.521956018521</v>
      </c>
      <c r="N19" s="8">
        <v>45225.549722222226</v>
      </c>
      <c r="O19" s="1">
        <f>(N19-M19)*24</f>
        <v>24.666388888901565</v>
      </c>
      <c r="P19" s="1">
        <v>10</v>
      </c>
      <c r="Q19" s="4">
        <v>5.0000000000000001E-3</v>
      </c>
      <c r="R19" s="4">
        <v>0.01</v>
      </c>
      <c r="S19" s="4" t="s">
        <v>18</v>
      </c>
      <c r="T19" s="9">
        <v>382794</v>
      </c>
      <c r="U19" s="9">
        <v>9964774</v>
      </c>
      <c r="V19" s="1"/>
    </row>
    <row r="20" spans="1:22" x14ac:dyDescent="0.35">
      <c r="A20" s="1" t="s">
        <v>12</v>
      </c>
      <c r="B20" s="1" t="s">
        <v>13</v>
      </c>
      <c r="C20" s="2">
        <v>45224</v>
      </c>
      <c r="D20" s="2">
        <v>45226</v>
      </c>
      <c r="E20" s="1" t="s">
        <v>40</v>
      </c>
      <c r="F20" s="4" t="s">
        <v>89</v>
      </c>
      <c r="G20" s="1" t="s">
        <v>19</v>
      </c>
      <c r="H20" s="1" t="s">
        <v>38</v>
      </c>
      <c r="I20" s="4" t="s">
        <v>97</v>
      </c>
      <c r="J20" s="4" t="s">
        <v>99</v>
      </c>
      <c r="K20" s="4">
        <v>3</v>
      </c>
      <c r="L20" s="4" t="s">
        <v>106</v>
      </c>
      <c r="M20" s="8">
        <v>45224.524004629631</v>
      </c>
      <c r="N20" s="8">
        <v>45225.565659722219</v>
      </c>
      <c r="O20" s="1">
        <f>(N20-M20)*24</f>
        <v>24.999722222099081</v>
      </c>
      <c r="P20" s="1">
        <v>10</v>
      </c>
      <c r="Q20" s="4">
        <v>5.0000000000000001E-3</v>
      </c>
      <c r="R20" s="4">
        <v>0.01</v>
      </c>
      <c r="S20" s="4" t="s">
        <v>18</v>
      </c>
      <c r="T20" s="9">
        <v>382794</v>
      </c>
      <c r="U20" s="9">
        <v>9964774</v>
      </c>
      <c r="V20" s="1"/>
    </row>
    <row r="21" spans="1:22" x14ac:dyDescent="0.35">
      <c r="A21" s="1" t="s">
        <v>12</v>
      </c>
      <c r="B21" s="6" t="s">
        <v>21</v>
      </c>
      <c r="C21" s="5">
        <v>45224</v>
      </c>
      <c r="D21" s="5">
        <v>45226</v>
      </c>
      <c r="E21" s="6" t="s">
        <v>22</v>
      </c>
      <c r="F21" s="4" t="s">
        <v>89</v>
      </c>
      <c r="G21" s="1" t="s">
        <v>36</v>
      </c>
      <c r="H21" s="4" t="s">
        <v>93</v>
      </c>
      <c r="I21" s="6" t="s">
        <v>99</v>
      </c>
      <c r="J21" s="4" t="s">
        <v>100</v>
      </c>
      <c r="K21" s="4">
        <v>3</v>
      </c>
      <c r="L21" s="4" t="s">
        <v>109</v>
      </c>
      <c r="M21" s="7">
        <v>45224.532442129632</v>
      </c>
      <c r="N21" s="7">
        <v>45225.171342592592</v>
      </c>
      <c r="O21" s="6">
        <f>(N21-M21)*24</f>
        <v>15.333611111040227</v>
      </c>
      <c r="P21" s="6">
        <v>10</v>
      </c>
      <c r="Q21" s="4">
        <v>5.0000000000000001E-3</v>
      </c>
      <c r="R21" s="4">
        <v>0.01</v>
      </c>
      <c r="S21" s="4" t="s">
        <v>18</v>
      </c>
      <c r="T21" s="9">
        <v>382782</v>
      </c>
      <c r="U21" s="9">
        <v>9964814</v>
      </c>
      <c r="V21" s="1" t="s">
        <v>81</v>
      </c>
    </row>
    <row r="22" spans="1:22" x14ac:dyDescent="0.35">
      <c r="A22" s="1" t="s">
        <v>15</v>
      </c>
      <c r="B22" s="1" t="s">
        <v>16</v>
      </c>
      <c r="C22" s="2">
        <v>45224</v>
      </c>
      <c r="D22" s="2">
        <v>45226</v>
      </c>
      <c r="E22" s="1" t="s">
        <v>14</v>
      </c>
      <c r="F22" s="4" t="s">
        <v>89</v>
      </c>
      <c r="G22" s="1" t="s">
        <v>19</v>
      </c>
      <c r="H22" s="1" t="s">
        <v>17</v>
      </c>
      <c r="I22" s="4" t="s">
        <v>97</v>
      </c>
      <c r="J22" s="4" t="s">
        <v>99</v>
      </c>
      <c r="K22" s="4">
        <v>4</v>
      </c>
      <c r="L22" s="4" t="s">
        <v>106</v>
      </c>
      <c r="M22" s="8">
        <v>45224.556331018517</v>
      </c>
      <c r="N22" s="8">
        <v>45225.445208333331</v>
      </c>
      <c r="O22" s="1">
        <f>(N22-M22)*24</f>
        <v>21.333055555529427</v>
      </c>
      <c r="P22" s="1">
        <v>10</v>
      </c>
      <c r="Q22" s="4">
        <v>5.0000000000000001E-3</v>
      </c>
      <c r="R22" s="4">
        <v>0.01</v>
      </c>
      <c r="S22" s="4" t="s">
        <v>18</v>
      </c>
      <c r="T22" s="9">
        <v>382134</v>
      </c>
      <c r="U22" s="9">
        <v>9964854</v>
      </c>
      <c r="V22" s="1"/>
    </row>
    <row r="23" spans="1:22" x14ac:dyDescent="0.35">
      <c r="A23" s="1" t="s">
        <v>15</v>
      </c>
      <c r="B23" s="1" t="s">
        <v>16</v>
      </c>
      <c r="C23" s="2">
        <v>45224</v>
      </c>
      <c r="D23" s="2">
        <v>45226</v>
      </c>
      <c r="E23" s="1" t="s">
        <v>37</v>
      </c>
      <c r="F23" s="4" t="s">
        <v>89</v>
      </c>
      <c r="G23" s="1" t="s">
        <v>19</v>
      </c>
      <c r="H23" s="1" t="s">
        <v>38</v>
      </c>
      <c r="I23" s="4" t="s">
        <v>97</v>
      </c>
      <c r="J23" s="4" t="s">
        <v>99</v>
      </c>
      <c r="K23" s="4">
        <v>4</v>
      </c>
      <c r="L23" s="4" t="s">
        <v>106</v>
      </c>
      <c r="M23" s="8">
        <v>45224.562291666669</v>
      </c>
      <c r="N23" s="8">
        <v>45225.548414351855</v>
      </c>
      <c r="O23" s="1">
        <f>(N23-M23)*24</f>
        <v>23.666944444470573</v>
      </c>
      <c r="P23" s="1">
        <v>10</v>
      </c>
      <c r="Q23" s="4">
        <v>5.0000000000000001E-3</v>
      </c>
      <c r="R23" s="4">
        <v>0.01</v>
      </c>
      <c r="S23" s="4" t="s">
        <v>18</v>
      </c>
      <c r="T23" s="9">
        <v>382134</v>
      </c>
      <c r="U23" s="9">
        <v>9964854</v>
      </c>
      <c r="V23" s="1"/>
    </row>
    <row r="24" spans="1:22" x14ac:dyDescent="0.35">
      <c r="A24" s="1" t="s">
        <v>23</v>
      </c>
      <c r="B24" s="1" t="s">
        <v>74</v>
      </c>
      <c r="C24" s="2">
        <v>45229</v>
      </c>
      <c r="D24" s="2">
        <v>45231</v>
      </c>
      <c r="E24" s="1" t="s">
        <v>71</v>
      </c>
      <c r="F24" s="1" t="s">
        <v>90</v>
      </c>
      <c r="G24" s="1" t="s">
        <v>26</v>
      </c>
      <c r="H24" s="1" t="s">
        <v>94</v>
      </c>
      <c r="I24" s="4" t="s">
        <v>98</v>
      </c>
      <c r="J24" s="4" t="s">
        <v>101</v>
      </c>
      <c r="K24" s="4">
        <v>0</v>
      </c>
      <c r="L24" s="4" t="s">
        <v>110</v>
      </c>
      <c r="M24" s="8">
        <v>45229.393912037034</v>
      </c>
      <c r="N24" s="8">
        <v>45230.664733796293</v>
      </c>
      <c r="O24" s="1">
        <f>(N24-M24)*24</f>
        <v>30.499722222215496</v>
      </c>
      <c r="P24" s="1">
        <v>100</v>
      </c>
      <c r="Q24" s="4">
        <v>0.02</v>
      </c>
      <c r="R24" s="4">
        <v>0.02</v>
      </c>
      <c r="S24" s="4" t="s">
        <v>18</v>
      </c>
      <c r="T24" s="9">
        <v>374705</v>
      </c>
      <c r="U24" s="9">
        <v>9959456</v>
      </c>
      <c r="V24" s="1"/>
    </row>
    <row r="25" spans="1:22" x14ac:dyDescent="0.35">
      <c r="A25" s="1" t="s">
        <v>23</v>
      </c>
      <c r="B25" s="6" t="s">
        <v>58</v>
      </c>
      <c r="C25" s="5">
        <v>45229</v>
      </c>
      <c r="D25" s="5">
        <v>45231</v>
      </c>
      <c r="E25" s="6" t="s">
        <v>53</v>
      </c>
      <c r="F25" s="4" t="s">
        <v>89</v>
      </c>
      <c r="G25" s="6" t="s">
        <v>19</v>
      </c>
      <c r="H25" s="4" t="s">
        <v>93</v>
      </c>
      <c r="I25" s="4" t="s">
        <v>96</v>
      </c>
      <c r="J25" s="4" t="s">
        <v>99</v>
      </c>
      <c r="K25" s="4">
        <v>7</v>
      </c>
      <c r="L25" s="4" t="s">
        <v>111</v>
      </c>
      <c r="M25" s="7">
        <v>45229.42701388889</v>
      </c>
      <c r="N25" s="7">
        <v>45230.496458333335</v>
      </c>
      <c r="O25" s="6">
        <f>(N25-M25)*24</f>
        <v>25.666666666686069</v>
      </c>
      <c r="P25" s="6">
        <v>100</v>
      </c>
      <c r="Q25" s="4">
        <v>0.02</v>
      </c>
      <c r="R25" s="4">
        <v>0.02</v>
      </c>
      <c r="S25" s="4" t="s">
        <v>18</v>
      </c>
      <c r="T25" s="9">
        <v>374467</v>
      </c>
      <c r="U25" s="9">
        <v>9959722</v>
      </c>
      <c r="V25" s="1" t="s">
        <v>59</v>
      </c>
    </row>
    <row r="26" spans="1:22" x14ac:dyDescent="0.35">
      <c r="A26" s="1" t="s">
        <v>34</v>
      </c>
      <c r="B26" s="1" t="s">
        <v>46</v>
      </c>
      <c r="C26" s="2">
        <v>45229</v>
      </c>
      <c r="D26" s="2">
        <v>45231</v>
      </c>
      <c r="E26" s="1" t="s">
        <v>47</v>
      </c>
      <c r="F26" s="4" t="s">
        <v>89</v>
      </c>
      <c r="G26" s="1" t="s">
        <v>19</v>
      </c>
      <c r="H26" s="4" t="s">
        <v>92</v>
      </c>
      <c r="I26" s="4" t="s">
        <v>96</v>
      </c>
      <c r="J26" s="4" t="s">
        <v>99</v>
      </c>
      <c r="K26" s="4">
        <v>2</v>
      </c>
      <c r="L26" s="4" t="s">
        <v>105</v>
      </c>
      <c r="M26" s="8">
        <v>45229.447210648148</v>
      </c>
      <c r="N26" s="8">
        <v>45230.495833333334</v>
      </c>
      <c r="O26" s="1">
        <f>(N26-M26)*24</f>
        <v>25.166944444470573</v>
      </c>
      <c r="P26" s="1">
        <v>10</v>
      </c>
      <c r="Q26" s="4">
        <v>5.0000000000000001E-3</v>
      </c>
      <c r="R26" s="4">
        <v>0.01</v>
      </c>
      <c r="S26" s="4" t="s">
        <v>18</v>
      </c>
      <c r="T26" s="9">
        <v>374592</v>
      </c>
      <c r="U26" s="9">
        <v>9959763</v>
      </c>
      <c r="V26" s="1"/>
    </row>
    <row r="27" spans="1:22" x14ac:dyDescent="0.35">
      <c r="A27" s="1" t="s">
        <v>34</v>
      </c>
      <c r="B27" s="1" t="s">
        <v>46</v>
      </c>
      <c r="C27" s="5">
        <v>45229</v>
      </c>
      <c r="D27" s="5">
        <v>45231</v>
      </c>
      <c r="E27" s="6" t="s">
        <v>49</v>
      </c>
      <c r="F27" s="4" t="s">
        <v>89</v>
      </c>
      <c r="G27" s="6" t="s">
        <v>36</v>
      </c>
      <c r="H27" s="4" t="s">
        <v>92</v>
      </c>
      <c r="I27" s="4" t="s">
        <v>96</v>
      </c>
      <c r="J27" s="4" t="s">
        <v>99</v>
      </c>
      <c r="K27" s="4">
        <v>7</v>
      </c>
      <c r="L27" s="4" t="s">
        <v>105</v>
      </c>
      <c r="M27" s="7">
        <v>45229.447569444441</v>
      </c>
      <c r="N27" s="7">
        <v>45230.468402777777</v>
      </c>
      <c r="O27" s="6">
        <f>(N27-M27)*24</f>
        <v>24.500000000058208</v>
      </c>
      <c r="P27" s="6">
        <v>10</v>
      </c>
      <c r="Q27" s="4">
        <v>5.0000000000000001E-3</v>
      </c>
      <c r="R27" s="4">
        <v>0.01</v>
      </c>
      <c r="S27" s="4" t="s">
        <v>18</v>
      </c>
      <c r="T27" s="9">
        <v>374592</v>
      </c>
      <c r="U27" s="9">
        <v>9959763</v>
      </c>
      <c r="V27" s="1" t="s">
        <v>50</v>
      </c>
    </row>
    <row r="28" spans="1:22" x14ac:dyDescent="0.35">
      <c r="A28" s="1" t="s">
        <v>12</v>
      </c>
      <c r="B28" s="6" t="s">
        <v>13</v>
      </c>
      <c r="C28" s="5">
        <v>45231</v>
      </c>
      <c r="D28" s="5">
        <v>45233</v>
      </c>
      <c r="E28" s="6" t="s">
        <v>43</v>
      </c>
      <c r="F28" s="4" t="s">
        <v>89</v>
      </c>
      <c r="G28" s="1" t="s">
        <v>19</v>
      </c>
      <c r="H28" s="6" t="s">
        <v>17</v>
      </c>
      <c r="I28" s="4" t="s">
        <v>97</v>
      </c>
      <c r="J28" s="4" t="s">
        <v>99</v>
      </c>
      <c r="K28" s="4">
        <v>3</v>
      </c>
      <c r="L28" s="4" t="s">
        <v>106</v>
      </c>
      <c r="M28" s="7">
        <v>45231.509016203701</v>
      </c>
      <c r="N28" s="7">
        <v>45232.542997685188</v>
      </c>
      <c r="O28" s="6">
        <f>(N28-M28)*24</f>
        <v>24.815555555687752</v>
      </c>
      <c r="P28" s="6">
        <v>10</v>
      </c>
      <c r="Q28" s="4">
        <v>5.0000000000000001E-3</v>
      </c>
      <c r="R28" s="4">
        <v>0.01</v>
      </c>
      <c r="S28" s="4" t="s">
        <v>18</v>
      </c>
      <c r="T28" s="9">
        <v>382794</v>
      </c>
      <c r="U28" s="9">
        <v>9964774</v>
      </c>
      <c r="V28" s="1" t="s">
        <v>44</v>
      </c>
    </row>
    <row r="29" spans="1:22" x14ac:dyDescent="0.35">
      <c r="A29" s="1" t="s">
        <v>12</v>
      </c>
      <c r="B29" s="1" t="s">
        <v>13</v>
      </c>
      <c r="C29" s="2">
        <v>45231</v>
      </c>
      <c r="D29" s="2">
        <v>45233</v>
      </c>
      <c r="E29" s="1" t="s">
        <v>40</v>
      </c>
      <c r="F29" s="4" t="s">
        <v>89</v>
      </c>
      <c r="G29" s="1" t="s">
        <v>19</v>
      </c>
      <c r="H29" s="1" t="s">
        <v>38</v>
      </c>
      <c r="I29" s="4" t="s">
        <v>97</v>
      </c>
      <c r="J29" s="4" t="s">
        <v>99</v>
      </c>
      <c r="K29" s="4">
        <v>3</v>
      </c>
      <c r="L29" s="4" t="s">
        <v>106</v>
      </c>
      <c r="M29" s="8">
        <v>45231.509120370371</v>
      </c>
      <c r="N29" s="8">
        <v>45232.578553240739</v>
      </c>
      <c r="O29" s="1">
        <f>(N29-M29)*24</f>
        <v>25.666388888843358</v>
      </c>
      <c r="P29" s="1">
        <v>10</v>
      </c>
      <c r="Q29" s="4">
        <v>5.0000000000000001E-3</v>
      </c>
      <c r="R29" s="4">
        <v>0.01</v>
      </c>
      <c r="S29" s="4" t="s">
        <v>18</v>
      </c>
      <c r="T29" s="9">
        <v>382794</v>
      </c>
      <c r="U29" s="9">
        <v>9964774</v>
      </c>
      <c r="V29" s="1"/>
    </row>
    <row r="30" spans="1:22" x14ac:dyDescent="0.35">
      <c r="A30" s="1" t="s">
        <v>12</v>
      </c>
      <c r="B30" s="1" t="s">
        <v>21</v>
      </c>
      <c r="C30" s="2">
        <v>45231</v>
      </c>
      <c r="D30" s="2">
        <v>45233</v>
      </c>
      <c r="E30" s="1" t="s">
        <v>22</v>
      </c>
      <c r="F30" s="4" t="s">
        <v>89</v>
      </c>
      <c r="G30" s="1" t="s">
        <v>36</v>
      </c>
      <c r="H30" s="4" t="s">
        <v>93</v>
      </c>
      <c r="I30" s="6" t="s">
        <v>99</v>
      </c>
      <c r="J30" s="4" t="s">
        <v>100</v>
      </c>
      <c r="K30" s="4">
        <v>3</v>
      </c>
      <c r="L30" s="4" t="s">
        <v>109</v>
      </c>
      <c r="M30" s="8">
        <v>45231.517847222225</v>
      </c>
      <c r="N30" s="8">
        <v>45232.58730324074</v>
      </c>
      <c r="O30" s="1">
        <f>(N30-M30)*24</f>
        <v>25.666944444354158</v>
      </c>
      <c r="P30" s="1">
        <v>10</v>
      </c>
      <c r="Q30" s="4">
        <v>5.0000000000000001E-3</v>
      </c>
      <c r="R30" s="4">
        <v>0.01</v>
      </c>
      <c r="S30" s="4" t="s">
        <v>18</v>
      </c>
      <c r="T30" s="9">
        <v>382782</v>
      </c>
      <c r="U30" s="9">
        <v>9964814</v>
      </c>
      <c r="V30" s="1"/>
    </row>
    <row r="31" spans="1:22" x14ac:dyDescent="0.35">
      <c r="A31" s="1" t="s">
        <v>15</v>
      </c>
      <c r="B31" s="1" t="s">
        <v>16</v>
      </c>
      <c r="C31" s="2">
        <v>45231</v>
      </c>
      <c r="D31" s="2">
        <v>45233</v>
      </c>
      <c r="E31" s="1" t="s">
        <v>14</v>
      </c>
      <c r="F31" s="4" t="s">
        <v>89</v>
      </c>
      <c r="G31" s="1" t="s">
        <v>19</v>
      </c>
      <c r="H31" s="1" t="s">
        <v>17</v>
      </c>
      <c r="I31" s="4" t="s">
        <v>97</v>
      </c>
      <c r="J31" s="4" t="s">
        <v>99</v>
      </c>
      <c r="K31" s="4">
        <v>4</v>
      </c>
      <c r="L31" s="4" t="s">
        <v>106</v>
      </c>
      <c r="M31" s="8">
        <v>45231.528043981481</v>
      </c>
      <c r="N31" s="8">
        <v>45232.569699074076</v>
      </c>
      <c r="O31" s="1">
        <f>(N31-M31)*24</f>
        <v>24.999722222273704</v>
      </c>
      <c r="P31" s="1">
        <v>10</v>
      </c>
      <c r="Q31" s="4">
        <v>5.0000000000000001E-3</v>
      </c>
      <c r="R31" s="4">
        <v>0.01</v>
      </c>
      <c r="S31" s="4" t="s">
        <v>18</v>
      </c>
      <c r="T31" s="9">
        <v>382134</v>
      </c>
      <c r="U31" s="9">
        <v>9964854</v>
      </c>
      <c r="V31" s="1"/>
    </row>
    <row r="32" spans="1:22" x14ac:dyDescent="0.35">
      <c r="A32" s="1" t="s">
        <v>15</v>
      </c>
      <c r="B32" s="1" t="s">
        <v>16</v>
      </c>
      <c r="C32" s="2">
        <v>45231</v>
      </c>
      <c r="D32" s="2">
        <v>45233</v>
      </c>
      <c r="E32" s="1" t="s">
        <v>37</v>
      </c>
      <c r="F32" s="4" t="s">
        <v>89</v>
      </c>
      <c r="G32" s="1" t="s">
        <v>19</v>
      </c>
      <c r="H32" s="1" t="s">
        <v>38</v>
      </c>
      <c r="I32" s="4" t="s">
        <v>97</v>
      </c>
      <c r="J32" s="4" t="s">
        <v>99</v>
      </c>
      <c r="K32" s="4">
        <v>4</v>
      </c>
      <c r="L32" s="4" t="s">
        <v>106</v>
      </c>
      <c r="M32" s="8">
        <v>45231.529537037037</v>
      </c>
      <c r="N32" s="8">
        <v>45232.793437499997</v>
      </c>
      <c r="O32" s="1">
        <f>(N32-M32)*24</f>
        <v>30.333611111040227</v>
      </c>
      <c r="P32" s="1">
        <v>10</v>
      </c>
      <c r="Q32" s="4">
        <v>5.0000000000000001E-3</v>
      </c>
      <c r="R32" s="4">
        <v>0.01</v>
      </c>
      <c r="S32" s="4" t="s">
        <v>18</v>
      </c>
      <c r="T32" s="9">
        <v>382134</v>
      </c>
      <c r="U32" s="9">
        <v>9964854</v>
      </c>
      <c r="V32" s="1"/>
    </row>
    <row r="33" spans="1:22" x14ac:dyDescent="0.35">
      <c r="A33" s="1" t="s">
        <v>23</v>
      </c>
      <c r="B33" s="1" t="s">
        <v>66</v>
      </c>
      <c r="C33" s="2">
        <v>45236</v>
      </c>
      <c r="D33" s="2">
        <v>45238</v>
      </c>
      <c r="E33" s="1" t="s">
        <v>65</v>
      </c>
      <c r="F33" s="4" t="s">
        <v>89</v>
      </c>
      <c r="G33" s="1" t="s">
        <v>19</v>
      </c>
      <c r="H33" s="4" t="s">
        <v>93</v>
      </c>
      <c r="I33" s="4" t="s">
        <v>96</v>
      </c>
      <c r="J33" s="4" t="s">
        <v>99</v>
      </c>
      <c r="K33" s="4">
        <v>7</v>
      </c>
      <c r="L33" s="4" t="s">
        <v>113</v>
      </c>
      <c r="M33" s="8">
        <v>45236.390798611108</v>
      </c>
      <c r="N33" s="8">
        <v>45237.717164351852</v>
      </c>
      <c r="O33" s="1">
        <f>(N33-M33)*24</f>
        <v>31.832777777861338</v>
      </c>
      <c r="P33" s="1">
        <v>100</v>
      </c>
      <c r="Q33" s="4">
        <v>0.02</v>
      </c>
      <c r="R33" s="4">
        <v>0.02</v>
      </c>
      <c r="S33" s="4" t="s">
        <v>18</v>
      </c>
      <c r="T33" s="9">
        <v>381026</v>
      </c>
      <c r="U33" s="9">
        <v>9962052</v>
      </c>
      <c r="V33" s="1"/>
    </row>
    <row r="34" spans="1:22" x14ac:dyDescent="0.35">
      <c r="A34" s="1" t="s">
        <v>23</v>
      </c>
      <c r="B34" s="1" t="s">
        <v>60</v>
      </c>
      <c r="C34" s="2">
        <v>45236</v>
      </c>
      <c r="D34" s="2">
        <v>45238</v>
      </c>
      <c r="E34" s="1" t="s">
        <v>53</v>
      </c>
      <c r="F34" s="4" t="s">
        <v>89</v>
      </c>
      <c r="G34" s="1" t="s">
        <v>19</v>
      </c>
      <c r="H34" s="4" t="s">
        <v>93</v>
      </c>
      <c r="I34" s="4" t="s">
        <v>96</v>
      </c>
      <c r="J34" s="4" t="s">
        <v>99</v>
      </c>
      <c r="K34" s="4">
        <v>0</v>
      </c>
      <c r="L34" s="4" t="s">
        <v>114</v>
      </c>
      <c r="M34" s="8">
        <v>45236.40483796296</v>
      </c>
      <c r="N34" s="8">
        <v>45237.745138888888</v>
      </c>
      <c r="O34" s="1">
        <f>(N34-M34)*24</f>
        <v>32.167222222255077</v>
      </c>
      <c r="P34" s="1">
        <v>100</v>
      </c>
      <c r="Q34" s="4">
        <v>0.02</v>
      </c>
      <c r="R34" s="4">
        <v>0.02</v>
      </c>
      <c r="S34" s="4" t="s">
        <v>18</v>
      </c>
      <c r="T34" s="9">
        <v>381086</v>
      </c>
      <c r="U34" s="9">
        <v>9962037</v>
      </c>
      <c r="V34" s="1"/>
    </row>
    <row r="35" spans="1:22" x14ac:dyDescent="0.35">
      <c r="A35" s="1" t="s">
        <v>23</v>
      </c>
      <c r="B35" s="1" t="s">
        <v>75</v>
      </c>
      <c r="C35" s="2">
        <v>45236</v>
      </c>
      <c r="D35" s="2">
        <v>45238</v>
      </c>
      <c r="E35" s="1" t="s">
        <v>71</v>
      </c>
      <c r="F35" s="1" t="s">
        <v>90</v>
      </c>
      <c r="G35" s="1" t="s">
        <v>26</v>
      </c>
      <c r="H35" s="1" t="s">
        <v>94</v>
      </c>
      <c r="I35" s="4" t="s">
        <v>98</v>
      </c>
      <c r="J35" s="4" t="s">
        <v>101</v>
      </c>
      <c r="K35" s="4">
        <v>0</v>
      </c>
      <c r="L35" s="4" t="s">
        <v>110</v>
      </c>
      <c r="M35" s="8">
        <v>45236.4530787037</v>
      </c>
      <c r="N35" s="8">
        <v>45237.966944444444</v>
      </c>
      <c r="O35" s="1">
        <f>(N35-M35)*24</f>
        <v>36.332777777861338</v>
      </c>
      <c r="P35" s="1">
        <v>100</v>
      </c>
      <c r="Q35" s="4">
        <v>0.02</v>
      </c>
      <c r="R35" s="4">
        <v>0.02</v>
      </c>
      <c r="S35" s="4" t="s">
        <v>18</v>
      </c>
      <c r="T35" s="4">
        <v>374819.5</v>
      </c>
      <c r="U35" s="4">
        <v>9959335</v>
      </c>
      <c r="V35" s="1"/>
    </row>
    <row r="36" spans="1:22" x14ac:dyDescent="0.35">
      <c r="A36" s="1" t="s">
        <v>34</v>
      </c>
      <c r="B36" s="1" t="s">
        <v>46</v>
      </c>
      <c r="C36" s="2">
        <v>45236</v>
      </c>
      <c r="D36" s="2">
        <v>45238</v>
      </c>
      <c r="E36" s="1" t="s">
        <v>47</v>
      </c>
      <c r="F36" s="4" t="s">
        <v>89</v>
      </c>
      <c r="G36" s="1" t="s">
        <v>19</v>
      </c>
      <c r="H36" s="4" t="s">
        <v>92</v>
      </c>
      <c r="I36" s="4" t="s">
        <v>96</v>
      </c>
      <c r="J36" s="4" t="s">
        <v>99</v>
      </c>
      <c r="K36" s="4">
        <v>2</v>
      </c>
      <c r="L36" s="4" t="s">
        <v>105</v>
      </c>
      <c r="M36" s="8">
        <v>45236.461840277778</v>
      </c>
      <c r="N36" s="8">
        <v>45237.774363425924</v>
      </c>
      <c r="O36" s="1">
        <f>(N36-M36)*24</f>
        <v>31.5005555555108</v>
      </c>
      <c r="P36" s="1">
        <v>10</v>
      </c>
      <c r="Q36" s="4">
        <v>5.0000000000000001E-3</v>
      </c>
      <c r="R36" s="4">
        <v>0.01</v>
      </c>
      <c r="S36" s="4" t="s">
        <v>18</v>
      </c>
      <c r="T36" s="9">
        <v>374592</v>
      </c>
      <c r="U36" s="9">
        <v>9959763</v>
      </c>
      <c r="V36" s="1"/>
    </row>
    <row r="37" spans="1:22" x14ac:dyDescent="0.35">
      <c r="A37" s="1" t="s">
        <v>34</v>
      </c>
      <c r="B37" s="1" t="s">
        <v>46</v>
      </c>
      <c r="C37" s="5">
        <v>45236</v>
      </c>
      <c r="D37" s="5">
        <v>45238</v>
      </c>
      <c r="E37" s="6" t="s">
        <v>49</v>
      </c>
      <c r="F37" s="4" t="s">
        <v>89</v>
      </c>
      <c r="G37" s="6" t="s">
        <v>36</v>
      </c>
      <c r="H37" s="4" t="s">
        <v>92</v>
      </c>
      <c r="I37" s="4" t="s">
        <v>96</v>
      </c>
      <c r="J37" s="4" t="s">
        <v>99</v>
      </c>
      <c r="K37" s="4">
        <v>7</v>
      </c>
      <c r="L37" s="4" t="s">
        <v>105</v>
      </c>
      <c r="M37" s="7">
        <v>45236.467731481483</v>
      </c>
      <c r="N37" s="7">
        <v>45237.731620370374</v>
      </c>
      <c r="O37" s="6">
        <f>(N37-M37)*24</f>
        <v>30.333333333372138</v>
      </c>
      <c r="P37" s="6">
        <v>10</v>
      </c>
      <c r="Q37" s="4">
        <v>5.0000000000000001E-3</v>
      </c>
      <c r="R37" s="4">
        <v>0.01</v>
      </c>
      <c r="S37" s="4" t="s">
        <v>18</v>
      </c>
      <c r="T37" s="9">
        <v>374592</v>
      </c>
      <c r="U37" s="9">
        <v>9959763</v>
      </c>
      <c r="V37" s="1" t="s">
        <v>51</v>
      </c>
    </row>
    <row r="38" spans="1:22" x14ac:dyDescent="0.35">
      <c r="A38" s="1" t="s">
        <v>12</v>
      </c>
      <c r="B38" s="1" t="s">
        <v>13</v>
      </c>
      <c r="C38" s="2">
        <v>45238</v>
      </c>
      <c r="D38" s="2">
        <v>45240</v>
      </c>
      <c r="E38" s="1" t="s">
        <v>40</v>
      </c>
      <c r="F38" s="4" t="s">
        <v>89</v>
      </c>
      <c r="G38" s="1" t="s">
        <v>19</v>
      </c>
      <c r="H38" s="1" t="s">
        <v>38</v>
      </c>
      <c r="I38" s="4" t="s">
        <v>97</v>
      </c>
      <c r="J38" s="4" t="s">
        <v>99</v>
      </c>
      <c r="K38" s="4">
        <v>3</v>
      </c>
      <c r="L38" s="4" t="s">
        <v>106</v>
      </c>
      <c r="M38" s="8">
        <v>45238.506041666667</v>
      </c>
      <c r="N38" s="8">
        <v>45239.860196759262</v>
      </c>
      <c r="O38" s="1">
        <f>(N38-M38)*24</f>
        <v>32.499722222273704</v>
      </c>
      <c r="P38" s="1">
        <v>10</v>
      </c>
      <c r="Q38" s="4">
        <v>5.0000000000000001E-3</v>
      </c>
      <c r="R38" s="4">
        <v>0.01</v>
      </c>
      <c r="S38" s="4" t="s">
        <v>18</v>
      </c>
      <c r="T38" s="9">
        <v>382794</v>
      </c>
      <c r="U38" s="9">
        <v>9964774</v>
      </c>
      <c r="V38" s="1"/>
    </row>
    <row r="39" spans="1:22" x14ac:dyDescent="0.35">
      <c r="A39" s="1" t="s">
        <v>12</v>
      </c>
      <c r="B39" s="6" t="s">
        <v>13</v>
      </c>
      <c r="C39" s="5">
        <v>45238</v>
      </c>
      <c r="D39" s="5">
        <v>45240</v>
      </c>
      <c r="E39" s="6" t="s">
        <v>43</v>
      </c>
      <c r="F39" s="4" t="s">
        <v>89</v>
      </c>
      <c r="G39" s="1" t="s">
        <v>19</v>
      </c>
      <c r="H39" s="6" t="s">
        <v>17</v>
      </c>
      <c r="I39" s="4" t="s">
        <v>97</v>
      </c>
      <c r="J39" s="4" t="s">
        <v>99</v>
      </c>
      <c r="K39" s="4">
        <v>3</v>
      </c>
      <c r="L39" s="4" t="s">
        <v>106</v>
      </c>
      <c r="M39" s="7">
        <v>45238.508715277778</v>
      </c>
      <c r="N39" s="7">
        <v>45239.682326388887</v>
      </c>
      <c r="O39" s="6">
        <f>(N39-M39)*24</f>
        <v>28.166666666627862</v>
      </c>
      <c r="P39" s="6">
        <v>10</v>
      </c>
      <c r="Q39" s="4">
        <v>5.0000000000000001E-3</v>
      </c>
      <c r="R39" s="4">
        <v>0.01</v>
      </c>
      <c r="S39" s="4" t="s">
        <v>18</v>
      </c>
      <c r="T39" s="9">
        <v>382794</v>
      </c>
      <c r="U39" s="9">
        <v>9964774</v>
      </c>
      <c r="V39" s="1" t="s">
        <v>45</v>
      </c>
    </row>
    <row r="40" spans="1:22" x14ac:dyDescent="0.35">
      <c r="A40" s="1" t="s">
        <v>12</v>
      </c>
      <c r="B40" s="1" t="s">
        <v>21</v>
      </c>
      <c r="C40" s="2">
        <v>45238</v>
      </c>
      <c r="D40" s="2">
        <v>45240</v>
      </c>
      <c r="E40" s="1" t="s">
        <v>22</v>
      </c>
      <c r="F40" s="4" t="s">
        <v>89</v>
      </c>
      <c r="G40" s="1" t="s">
        <v>36</v>
      </c>
      <c r="H40" s="4" t="s">
        <v>93</v>
      </c>
      <c r="I40" s="6" t="s">
        <v>99</v>
      </c>
      <c r="J40" s="4" t="s">
        <v>100</v>
      </c>
      <c r="K40" s="4">
        <v>3</v>
      </c>
      <c r="L40" s="4" t="s">
        <v>109</v>
      </c>
      <c r="M40" s="8">
        <v>45238.512407407405</v>
      </c>
      <c r="N40" s="8">
        <v>45239.824930555558</v>
      </c>
      <c r="O40" s="1">
        <f>(N40-M40)*24</f>
        <v>31.500555555685423</v>
      </c>
      <c r="P40" s="1">
        <v>10</v>
      </c>
      <c r="Q40" s="4">
        <v>5.0000000000000001E-3</v>
      </c>
      <c r="R40" s="4">
        <v>0.01</v>
      </c>
      <c r="S40" s="4" t="s">
        <v>18</v>
      </c>
      <c r="T40" s="9">
        <v>382782</v>
      </c>
      <c r="U40" s="9">
        <v>9964814</v>
      </c>
      <c r="V40" s="1"/>
    </row>
    <row r="41" spans="1:22" x14ac:dyDescent="0.35">
      <c r="A41" s="1" t="s">
        <v>15</v>
      </c>
      <c r="B41" s="1" t="s">
        <v>16</v>
      </c>
      <c r="C41" s="2">
        <v>45238</v>
      </c>
      <c r="D41" s="2">
        <v>45240</v>
      </c>
      <c r="E41" s="1" t="s">
        <v>14</v>
      </c>
      <c r="F41" s="4" t="s">
        <v>89</v>
      </c>
      <c r="G41" s="1" t="s">
        <v>19</v>
      </c>
      <c r="H41" s="1" t="s">
        <v>17</v>
      </c>
      <c r="I41" s="4" t="s">
        <v>97</v>
      </c>
      <c r="J41" s="4" t="s">
        <v>99</v>
      </c>
      <c r="K41" s="4">
        <v>4</v>
      </c>
      <c r="L41" s="4" t="s">
        <v>106</v>
      </c>
      <c r="M41" s="8">
        <v>45238.527962962966</v>
      </c>
      <c r="N41" s="8">
        <v>45239.833506944444</v>
      </c>
      <c r="O41" s="1">
        <f>(N41-M41)*24</f>
        <v>31.333055555471219</v>
      </c>
      <c r="P41" s="1">
        <v>10</v>
      </c>
      <c r="Q41" s="4">
        <v>5.0000000000000001E-3</v>
      </c>
      <c r="R41" s="4">
        <v>0.01</v>
      </c>
      <c r="S41" s="4" t="s">
        <v>18</v>
      </c>
      <c r="T41" s="9">
        <v>382134</v>
      </c>
      <c r="U41" s="9">
        <v>9964854</v>
      </c>
      <c r="V41" s="1"/>
    </row>
    <row r="42" spans="1:22" x14ac:dyDescent="0.35">
      <c r="A42" s="1" t="s">
        <v>15</v>
      </c>
      <c r="B42" s="1" t="s">
        <v>16</v>
      </c>
      <c r="C42" s="2">
        <v>45238</v>
      </c>
      <c r="D42" s="2">
        <v>45240</v>
      </c>
      <c r="E42" s="1" t="s">
        <v>37</v>
      </c>
      <c r="F42" s="4" t="s">
        <v>89</v>
      </c>
      <c r="G42" s="1" t="s">
        <v>19</v>
      </c>
      <c r="H42" s="1" t="s">
        <v>38</v>
      </c>
      <c r="I42" s="4" t="s">
        <v>97</v>
      </c>
      <c r="J42" s="4" t="s">
        <v>99</v>
      </c>
      <c r="K42" s="4">
        <v>4</v>
      </c>
      <c r="L42" s="4" t="s">
        <v>106</v>
      </c>
      <c r="M42" s="8">
        <v>45238.528333333335</v>
      </c>
      <c r="N42" s="8">
        <v>45240.097800925927</v>
      </c>
      <c r="O42" s="1">
        <f>(N42-M42)*24</f>
        <v>37.66722222219687</v>
      </c>
      <c r="P42" s="1">
        <v>10</v>
      </c>
      <c r="Q42" s="4">
        <v>5.0000000000000001E-3</v>
      </c>
      <c r="R42" s="4">
        <v>0.01</v>
      </c>
      <c r="S42" s="4" t="s">
        <v>18</v>
      </c>
      <c r="T42" s="9">
        <v>382134</v>
      </c>
      <c r="U42" s="9">
        <v>9964854</v>
      </c>
      <c r="V42" s="1"/>
    </row>
    <row r="43" spans="1:22" x14ac:dyDescent="0.35">
      <c r="A43" s="1" t="s">
        <v>23</v>
      </c>
      <c r="B43" s="1" t="s">
        <v>67</v>
      </c>
      <c r="C43" s="2">
        <v>45243</v>
      </c>
      <c r="D43" s="2">
        <v>45245</v>
      </c>
      <c r="E43" s="1" t="s">
        <v>65</v>
      </c>
      <c r="F43" s="1" t="s">
        <v>90</v>
      </c>
      <c r="G43" s="1" t="s">
        <v>26</v>
      </c>
      <c r="H43" s="1" t="s">
        <v>94</v>
      </c>
      <c r="I43" s="4" t="s">
        <v>98</v>
      </c>
      <c r="J43" s="4" t="s">
        <v>101</v>
      </c>
      <c r="K43" s="4">
        <v>0</v>
      </c>
      <c r="L43" s="4" t="s">
        <v>110</v>
      </c>
      <c r="M43" s="8">
        <v>45243.42224537037</v>
      </c>
      <c r="N43" s="8">
        <v>45244.741678240738</v>
      </c>
      <c r="O43" s="1">
        <f>(N43-M43)*24</f>
        <v>31.666388888843358</v>
      </c>
      <c r="P43" s="1">
        <v>100</v>
      </c>
      <c r="Q43" s="4">
        <v>0.02</v>
      </c>
      <c r="R43" s="4">
        <v>0.02</v>
      </c>
      <c r="S43" s="4" t="s">
        <v>18</v>
      </c>
      <c r="T43" s="9">
        <v>380983</v>
      </c>
      <c r="U43" s="9">
        <v>9961970</v>
      </c>
      <c r="V43" s="12" t="s">
        <v>68</v>
      </c>
    </row>
    <row r="44" spans="1:22" x14ac:dyDescent="0.35">
      <c r="A44" s="1" t="s">
        <v>23</v>
      </c>
      <c r="B44" s="1" t="s">
        <v>61</v>
      </c>
      <c r="C44" s="2">
        <v>45243</v>
      </c>
      <c r="D44" s="2">
        <v>45245</v>
      </c>
      <c r="E44" s="1" t="s">
        <v>53</v>
      </c>
      <c r="F44" s="4" t="s">
        <v>89</v>
      </c>
      <c r="G44" s="1" t="s">
        <v>19</v>
      </c>
      <c r="H44" s="4" t="s">
        <v>93</v>
      </c>
      <c r="I44" s="4" t="s">
        <v>96</v>
      </c>
      <c r="J44" s="4" t="s">
        <v>99</v>
      </c>
      <c r="K44" s="4">
        <v>0</v>
      </c>
      <c r="L44" s="4" t="s">
        <v>115</v>
      </c>
      <c r="M44" s="8">
        <v>45243.434733796297</v>
      </c>
      <c r="N44" s="8">
        <v>45244.78197916667</v>
      </c>
      <c r="O44" s="1">
        <f>(N44-M44)*24</f>
        <v>32.333888888941146</v>
      </c>
      <c r="P44" s="1">
        <v>100</v>
      </c>
      <c r="Q44" s="4">
        <v>0.02</v>
      </c>
      <c r="R44" s="4">
        <v>0.02</v>
      </c>
      <c r="S44" s="4" t="s">
        <v>18</v>
      </c>
      <c r="T44" s="9">
        <v>379010</v>
      </c>
      <c r="U44" s="9">
        <v>9962442</v>
      </c>
      <c r="V44" s="1"/>
    </row>
    <row r="45" spans="1:22" x14ac:dyDescent="0.35">
      <c r="A45" s="1" t="s">
        <v>23</v>
      </c>
      <c r="B45" s="1" t="s">
        <v>76</v>
      </c>
      <c r="C45" s="2">
        <v>45243</v>
      </c>
      <c r="D45" s="2">
        <v>45245</v>
      </c>
      <c r="E45" s="1" t="s">
        <v>71</v>
      </c>
      <c r="F45" s="1" t="s">
        <v>90</v>
      </c>
      <c r="G45" s="1" t="s">
        <v>26</v>
      </c>
      <c r="H45" s="1" t="s">
        <v>94</v>
      </c>
      <c r="I45" s="4" t="s">
        <v>98</v>
      </c>
      <c r="J45" s="4" t="s">
        <v>101</v>
      </c>
      <c r="K45" s="4">
        <v>0</v>
      </c>
      <c r="L45" s="4" t="s">
        <v>110</v>
      </c>
      <c r="M45" s="8">
        <v>45243.458460648151</v>
      </c>
      <c r="N45" s="8">
        <v>45245.000115740739</v>
      </c>
      <c r="O45" s="1">
        <f>(N45-M45)*24</f>
        <v>36.999722222099081</v>
      </c>
      <c r="P45" s="1">
        <v>100</v>
      </c>
      <c r="Q45" s="4">
        <v>0.02</v>
      </c>
      <c r="R45" s="4">
        <v>0.02</v>
      </c>
      <c r="S45" s="4" t="s">
        <v>18</v>
      </c>
      <c r="T45" s="4">
        <v>374886</v>
      </c>
      <c r="U45" s="4">
        <v>9959269</v>
      </c>
      <c r="V45" s="1"/>
    </row>
    <row r="46" spans="1:22" x14ac:dyDescent="0.35">
      <c r="A46" s="1" t="s">
        <v>34</v>
      </c>
      <c r="B46" s="1" t="s">
        <v>46</v>
      </c>
      <c r="C46" s="2">
        <v>45243</v>
      </c>
      <c r="D46" s="2">
        <v>45245</v>
      </c>
      <c r="E46" s="1" t="s">
        <v>47</v>
      </c>
      <c r="F46" s="4" t="s">
        <v>89</v>
      </c>
      <c r="G46" s="1" t="s">
        <v>19</v>
      </c>
      <c r="H46" s="4" t="s">
        <v>92</v>
      </c>
      <c r="I46" s="4" t="s">
        <v>96</v>
      </c>
      <c r="J46" s="4" t="s">
        <v>99</v>
      </c>
      <c r="K46" s="4">
        <v>2</v>
      </c>
      <c r="L46" s="4" t="s">
        <v>105</v>
      </c>
      <c r="M46" s="8">
        <v>45243.473217592589</v>
      </c>
      <c r="N46" s="8">
        <v>45244.792685185188</v>
      </c>
      <c r="O46" s="1">
        <f>(N46-M46)*24</f>
        <v>31.667222222371493</v>
      </c>
      <c r="P46" s="1">
        <v>10</v>
      </c>
      <c r="Q46" s="4">
        <v>5.0000000000000001E-3</v>
      </c>
      <c r="R46" s="4">
        <v>0.01</v>
      </c>
      <c r="S46" s="4" t="s">
        <v>18</v>
      </c>
      <c r="T46" s="9">
        <v>374592</v>
      </c>
      <c r="U46" s="9">
        <v>9959763</v>
      </c>
      <c r="V46" s="12" t="s">
        <v>83</v>
      </c>
    </row>
    <row r="47" spans="1:22" x14ac:dyDescent="0.35">
      <c r="A47" s="1" t="s">
        <v>34</v>
      </c>
      <c r="B47" s="1" t="s">
        <v>46</v>
      </c>
      <c r="C47" s="2">
        <v>45243</v>
      </c>
      <c r="D47" s="2">
        <v>45245</v>
      </c>
      <c r="E47" s="1" t="s">
        <v>49</v>
      </c>
      <c r="F47" s="4" t="s">
        <v>89</v>
      </c>
      <c r="G47" s="1" t="s">
        <v>36</v>
      </c>
      <c r="H47" s="4" t="s">
        <v>92</v>
      </c>
      <c r="I47" s="4" t="s">
        <v>96</v>
      </c>
      <c r="J47" s="4" t="s">
        <v>99</v>
      </c>
      <c r="K47" s="4">
        <v>7</v>
      </c>
      <c r="L47" s="4" t="s">
        <v>105</v>
      </c>
      <c r="M47" s="8">
        <v>45243.477777777778</v>
      </c>
      <c r="N47" s="8">
        <v>45244.755532407406</v>
      </c>
      <c r="O47" s="1">
        <f>(N47-M47)*24</f>
        <v>30.666111111058854</v>
      </c>
      <c r="P47" s="1">
        <v>10</v>
      </c>
      <c r="Q47" s="4">
        <v>5.0000000000000001E-3</v>
      </c>
      <c r="R47" s="4">
        <v>0.01</v>
      </c>
      <c r="S47" s="4" t="s">
        <v>18</v>
      </c>
      <c r="T47" s="9">
        <v>374592</v>
      </c>
      <c r="U47" s="9">
        <v>9959763</v>
      </c>
      <c r="V47" s="1"/>
    </row>
    <row r="48" spans="1:22" x14ac:dyDescent="0.35">
      <c r="A48" s="1" t="s">
        <v>12</v>
      </c>
      <c r="B48" s="1" t="s">
        <v>21</v>
      </c>
      <c r="C48" s="2">
        <v>45245</v>
      </c>
      <c r="D48" s="2">
        <v>45247</v>
      </c>
      <c r="E48" s="1" t="s">
        <v>22</v>
      </c>
      <c r="F48" s="4" t="s">
        <v>89</v>
      </c>
      <c r="G48" s="1" t="s">
        <v>36</v>
      </c>
      <c r="H48" s="4" t="s">
        <v>93</v>
      </c>
      <c r="I48" s="6" t="s">
        <v>99</v>
      </c>
      <c r="J48" s="4" t="s">
        <v>100</v>
      </c>
      <c r="K48" s="4">
        <v>3</v>
      </c>
      <c r="L48" s="4" t="s">
        <v>109</v>
      </c>
      <c r="M48" s="8">
        <v>45245.549722222226</v>
      </c>
      <c r="N48" s="8">
        <v>45246.855300925927</v>
      </c>
      <c r="O48" s="1">
        <f>(N48-M48)*24</f>
        <v>31.333888888824731</v>
      </c>
      <c r="P48" s="1">
        <v>10</v>
      </c>
      <c r="Q48" s="4">
        <v>5.0000000000000001E-3</v>
      </c>
      <c r="R48" s="4">
        <v>0.01</v>
      </c>
      <c r="S48" s="4" t="s">
        <v>18</v>
      </c>
      <c r="T48" s="9">
        <v>382782</v>
      </c>
      <c r="U48" s="9">
        <v>9964814</v>
      </c>
      <c r="V48" s="1"/>
    </row>
    <row r="49" spans="1:22" x14ac:dyDescent="0.35">
      <c r="A49" s="1" t="s">
        <v>12</v>
      </c>
      <c r="B49" s="1" t="s">
        <v>13</v>
      </c>
      <c r="C49" s="2">
        <v>45245</v>
      </c>
      <c r="D49" s="2">
        <v>45247</v>
      </c>
      <c r="E49" s="1" t="s">
        <v>40</v>
      </c>
      <c r="F49" s="4" t="s">
        <v>89</v>
      </c>
      <c r="G49" s="1" t="s">
        <v>19</v>
      </c>
      <c r="H49" s="1" t="s">
        <v>38</v>
      </c>
      <c r="I49" s="4" t="s">
        <v>97</v>
      </c>
      <c r="J49" s="4" t="s">
        <v>99</v>
      </c>
      <c r="K49" s="4">
        <v>3</v>
      </c>
      <c r="L49" s="4" t="s">
        <v>106</v>
      </c>
      <c r="M49" s="8">
        <v>45245.554861111108</v>
      </c>
      <c r="N49" s="8">
        <v>45246.832627314812</v>
      </c>
      <c r="O49" s="1">
        <f>(N49-M49)*24</f>
        <v>30.666388888901565</v>
      </c>
      <c r="P49" s="1">
        <v>10</v>
      </c>
      <c r="Q49" s="4">
        <v>5.0000000000000001E-3</v>
      </c>
      <c r="R49" s="4">
        <v>0.01</v>
      </c>
      <c r="S49" s="4" t="s">
        <v>18</v>
      </c>
      <c r="T49" s="9">
        <v>382794</v>
      </c>
      <c r="U49" s="9">
        <v>9964774</v>
      </c>
      <c r="V49" s="1" t="s">
        <v>41</v>
      </c>
    </row>
    <row r="50" spans="1:22" x14ac:dyDescent="0.35">
      <c r="A50" s="1" t="s">
        <v>15</v>
      </c>
      <c r="B50" s="1" t="s">
        <v>16</v>
      </c>
      <c r="C50" s="2">
        <v>45245</v>
      </c>
      <c r="D50" s="2">
        <v>45247</v>
      </c>
      <c r="E50" s="1" t="s">
        <v>37</v>
      </c>
      <c r="F50" s="4" t="s">
        <v>89</v>
      </c>
      <c r="G50" s="1" t="s">
        <v>19</v>
      </c>
      <c r="H50" s="1" t="s">
        <v>38</v>
      </c>
      <c r="I50" s="4" t="s">
        <v>97</v>
      </c>
      <c r="J50" s="4" t="s">
        <v>99</v>
      </c>
      <c r="K50" s="4">
        <v>4</v>
      </c>
      <c r="L50" s="4" t="s">
        <v>106</v>
      </c>
      <c r="M50" s="8">
        <v>45245.582303240742</v>
      </c>
      <c r="N50" s="8">
        <v>45247.151770833334</v>
      </c>
      <c r="O50" s="1">
        <f>(N50-M50)*24</f>
        <v>37.66722222219687</v>
      </c>
      <c r="P50" s="1">
        <v>10</v>
      </c>
      <c r="Q50" s="4">
        <v>5.0000000000000001E-3</v>
      </c>
      <c r="R50" s="4">
        <v>0.01</v>
      </c>
      <c r="S50" s="4" t="s">
        <v>18</v>
      </c>
      <c r="T50" s="9">
        <v>382134</v>
      </c>
      <c r="U50" s="9">
        <v>9964854</v>
      </c>
      <c r="V50" s="1"/>
    </row>
    <row r="51" spans="1:22" x14ac:dyDescent="0.35">
      <c r="A51" s="1" t="s">
        <v>15</v>
      </c>
      <c r="B51" s="6" t="s">
        <v>16</v>
      </c>
      <c r="C51" s="5">
        <v>45245</v>
      </c>
      <c r="D51" s="5">
        <v>45247</v>
      </c>
      <c r="E51" s="6" t="s">
        <v>14</v>
      </c>
      <c r="F51" s="4" t="s">
        <v>89</v>
      </c>
      <c r="G51" s="1" t="s">
        <v>19</v>
      </c>
      <c r="H51" s="6" t="s">
        <v>17</v>
      </c>
      <c r="I51" s="4" t="s">
        <v>97</v>
      </c>
      <c r="J51" s="4" t="s">
        <v>99</v>
      </c>
      <c r="K51" s="4">
        <v>4</v>
      </c>
      <c r="L51" s="4" t="s">
        <v>106</v>
      </c>
      <c r="M51" s="7">
        <v>45245.582766203705</v>
      </c>
      <c r="N51" s="7">
        <v>45246.742488425924</v>
      </c>
      <c r="O51" s="6">
        <f>(N51-M51)*24</f>
        <v>27.833333333255723</v>
      </c>
      <c r="P51" s="6">
        <v>10</v>
      </c>
      <c r="Q51" s="4">
        <v>5.0000000000000001E-3</v>
      </c>
      <c r="R51" s="4">
        <v>0.01</v>
      </c>
      <c r="S51" s="4" t="s">
        <v>18</v>
      </c>
      <c r="T51" s="9">
        <v>382134</v>
      </c>
      <c r="U51" s="9">
        <v>9964854</v>
      </c>
      <c r="V51" s="1" t="s">
        <v>80</v>
      </c>
    </row>
    <row r="52" spans="1:22" x14ac:dyDescent="0.35">
      <c r="A52" s="1" t="s">
        <v>23</v>
      </c>
      <c r="B52" s="1" t="s">
        <v>62</v>
      </c>
      <c r="C52" s="2">
        <v>45250</v>
      </c>
      <c r="D52" s="2">
        <v>45252</v>
      </c>
      <c r="E52" s="1" t="s">
        <v>53</v>
      </c>
      <c r="F52" s="4" t="s">
        <v>89</v>
      </c>
      <c r="G52" s="1" t="s">
        <v>19</v>
      </c>
      <c r="H52" s="4" t="s">
        <v>93</v>
      </c>
      <c r="I52" s="4" t="s">
        <v>96</v>
      </c>
      <c r="J52" s="4" t="s">
        <v>99</v>
      </c>
      <c r="K52" s="4">
        <v>0</v>
      </c>
      <c r="L52" s="4" t="s">
        <v>113</v>
      </c>
      <c r="M52" s="8">
        <v>45250.414780092593</v>
      </c>
      <c r="N52" s="8">
        <v>45251.762025462966</v>
      </c>
      <c r="O52" s="1">
        <f>(N52-M52)*24</f>
        <v>32.333888888941146</v>
      </c>
      <c r="P52" s="1">
        <v>100</v>
      </c>
      <c r="Q52" s="4">
        <v>0.02</v>
      </c>
      <c r="R52" s="4">
        <v>0.02</v>
      </c>
      <c r="S52" s="4" t="s">
        <v>18</v>
      </c>
      <c r="T52" s="9">
        <v>376926</v>
      </c>
      <c r="U52" s="9">
        <v>9962491</v>
      </c>
      <c r="V52" s="1"/>
    </row>
    <row r="53" spans="1:22" x14ac:dyDescent="0.35">
      <c r="A53" s="1" t="s">
        <v>23</v>
      </c>
      <c r="B53" s="1" t="s">
        <v>69</v>
      </c>
      <c r="C53" s="2">
        <v>45250</v>
      </c>
      <c r="D53" s="2">
        <v>45252</v>
      </c>
      <c r="E53" s="1" t="s">
        <v>65</v>
      </c>
      <c r="F53" s="1" t="s">
        <v>90</v>
      </c>
      <c r="G53" s="1" t="s">
        <v>26</v>
      </c>
      <c r="H53" s="1" t="s">
        <v>94</v>
      </c>
      <c r="I53" s="4" t="s">
        <v>98</v>
      </c>
      <c r="J53" s="4" t="s">
        <v>101</v>
      </c>
      <c r="K53" s="4">
        <v>0</v>
      </c>
      <c r="L53" s="4" t="s">
        <v>110</v>
      </c>
      <c r="M53" s="8">
        <v>45250.429039351853</v>
      </c>
      <c r="N53" s="8">
        <v>45251.748460648145</v>
      </c>
      <c r="O53" s="1">
        <f>(N53-M53)*24</f>
        <v>31.666111111000646</v>
      </c>
      <c r="P53" s="1">
        <v>100</v>
      </c>
      <c r="Q53" s="4">
        <v>0.02</v>
      </c>
      <c r="R53" s="4">
        <v>0.02</v>
      </c>
      <c r="S53" s="4" t="s">
        <v>18</v>
      </c>
      <c r="T53" s="4">
        <v>376986.5</v>
      </c>
      <c r="U53" s="4">
        <v>9962358</v>
      </c>
      <c r="V53" s="1" t="s">
        <v>70</v>
      </c>
    </row>
    <row r="54" spans="1:22" x14ac:dyDescent="0.35">
      <c r="A54" s="1" t="s">
        <v>23</v>
      </c>
      <c r="B54" s="1" t="s">
        <v>77</v>
      </c>
      <c r="C54" s="2">
        <v>45250</v>
      </c>
      <c r="D54" s="2">
        <v>45252</v>
      </c>
      <c r="E54" s="1" t="s">
        <v>71</v>
      </c>
      <c r="F54" s="4" t="s">
        <v>89</v>
      </c>
      <c r="G54" s="1" t="s">
        <v>19</v>
      </c>
      <c r="H54" s="4" t="s">
        <v>93</v>
      </c>
      <c r="I54" s="4" t="s">
        <v>96</v>
      </c>
      <c r="J54" s="4" t="s">
        <v>99</v>
      </c>
      <c r="K54" s="4">
        <v>7</v>
      </c>
      <c r="L54" s="4" t="s">
        <v>116</v>
      </c>
      <c r="M54" s="8">
        <v>45250.450497685182</v>
      </c>
      <c r="N54" s="8">
        <v>45251.9921412037</v>
      </c>
      <c r="O54" s="1">
        <f>(N54-M54)*24</f>
        <v>36.999444444430992</v>
      </c>
      <c r="P54" s="1">
        <v>100</v>
      </c>
      <c r="Q54" s="4">
        <v>0.02</v>
      </c>
      <c r="R54" s="4">
        <v>0.02</v>
      </c>
      <c r="S54" s="4" t="s">
        <v>18</v>
      </c>
      <c r="T54" s="9">
        <v>380078</v>
      </c>
      <c r="U54" s="9">
        <v>9958544</v>
      </c>
      <c r="V54" s="1"/>
    </row>
    <row r="55" spans="1:22" x14ac:dyDescent="0.35">
      <c r="A55" s="1" t="s">
        <v>23</v>
      </c>
      <c r="B55" s="1" t="s">
        <v>24</v>
      </c>
      <c r="C55" s="2">
        <v>45250</v>
      </c>
      <c r="D55" s="2">
        <v>45252</v>
      </c>
      <c r="E55" s="1" t="s">
        <v>25</v>
      </c>
      <c r="F55" s="1" t="s">
        <v>90</v>
      </c>
      <c r="G55" s="1" t="s">
        <v>26</v>
      </c>
      <c r="H55" s="1" t="s">
        <v>94</v>
      </c>
      <c r="I55" s="4" t="s">
        <v>98</v>
      </c>
      <c r="J55" s="4" t="s">
        <v>101</v>
      </c>
      <c r="K55" s="4">
        <v>0</v>
      </c>
      <c r="L55" s="4" t="s">
        <v>110</v>
      </c>
      <c r="M55" s="8">
        <v>45250.460925925923</v>
      </c>
      <c r="N55" s="8">
        <v>45251.752581018518</v>
      </c>
      <c r="O55" s="1">
        <f>(N55-M55)*24</f>
        <v>30.999722222273704</v>
      </c>
      <c r="P55" s="1">
        <v>100</v>
      </c>
      <c r="Q55" s="4" t="s">
        <v>27</v>
      </c>
      <c r="R55" s="4" t="s">
        <v>27</v>
      </c>
      <c r="S55" s="4" t="s">
        <v>18</v>
      </c>
      <c r="T55" s="9">
        <v>380002.5</v>
      </c>
      <c r="U55" s="9">
        <v>9958606</v>
      </c>
      <c r="V55" s="1" t="s">
        <v>82</v>
      </c>
    </row>
    <row r="56" spans="1:22" x14ac:dyDescent="0.35">
      <c r="A56" s="1" t="s">
        <v>23</v>
      </c>
      <c r="B56" s="1" t="s">
        <v>32</v>
      </c>
      <c r="C56" s="2">
        <v>45250</v>
      </c>
      <c r="D56" s="2">
        <v>45252</v>
      </c>
      <c r="E56" s="1" t="s">
        <v>33</v>
      </c>
      <c r="F56" s="4" t="s">
        <v>89</v>
      </c>
      <c r="G56" s="1" t="s">
        <v>19</v>
      </c>
      <c r="H56" s="4" t="s">
        <v>93</v>
      </c>
      <c r="I56" s="4" t="s">
        <v>96</v>
      </c>
      <c r="J56" s="4" t="s">
        <v>99</v>
      </c>
      <c r="K56" s="4">
        <v>7</v>
      </c>
      <c r="L56" s="4" t="s">
        <v>117</v>
      </c>
      <c r="M56" s="8">
        <v>45250.477164351854</v>
      </c>
      <c r="N56" s="8">
        <v>45252.067442129628</v>
      </c>
      <c r="O56" s="1">
        <f>(N56-M56)*24</f>
        <v>38.166666666569654</v>
      </c>
      <c r="P56" s="1">
        <v>100</v>
      </c>
      <c r="Q56" s="4">
        <v>0.02</v>
      </c>
      <c r="R56" s="4">
        <v>0.02</v>
      </c>
      <c r="S56" s="4" t="s">
        <v>18</v>
      </c>
      <c r="T56" s="9">
        <v>378278</v>
      </c>
      <c r="U56" s="9">
        <v>9957271</v>
      </c>
      <c r="V56" s="1"/>
    </row>
    <row r="57" spans="1:22" x14ac:dyDescent="0.35">
      <c r="A57" s="1" t="s">
        <v>34</v>
      </c>
      <c r="B57" s="1" t="s">
        <v>46</v>
      </c>
      <c r="C57" s="2">
        <v>45250</v>
      </c>
      <c r="D57" s="2">
        <v>45252</v>
      </c>
      <c r="E57" s="1" t="s">
        <v>47</v>
      </c>
      <c r="F57" s="4" t="s">
        <v>89</v>
      </c>
      <c r="G57" s="1" t="s">
        <v>19</v>
      </c>
      <c r="H57" s="4" t="s">
        <v>92</v>
      </c>
      <c r="I57" s="4" t="s">
        <v>96</v>
      </c>
      <c r="J57" s="4" t="s">
        <v>99</v>
      </c>
      <c r="K57" s="4">
        <v>2</v>
      </c>
      <c r="L57" s="4" t="s">
        <v>105</v>
      </c>
      <c r="M57" s="8">
        <v>45250.50267361111</v>
      </c>
      <c r="N57" s="8">
        <v>45251.780462962961</v>
      </c>
      <c r="O57" s="1">
        <f>(N57-M57)*24</f>
        <v>30.666944444412366</v>
      </c>
      <c r="P57" s="1">
        <v>10</v>
      </c>
      <c r="Q57" s="4">
        <v>5.0000000000000001E-3</v>
      </c>
      <c r="R57" s="4">
        <v>0.01</v>
      </c>
      <c r="S57" s="4" t="s">
        <v>18</v>
      </c>
      <c r="T57" s="9">
        <v>374592</v>
      </c>
      <c r="U57" s="9">
        <v>9959763</v>
      </c>
      <c r="V57" s="1"/>
    </row>
    <row r="58" spans="1:22" x14ac:dyDescent="0.35">
      <c r="A58" s="1" t="s">
        <v>34</v>
      </c>
      <c r="B58" s="1" t="s">
        <v>46</v>
      </c>
      <c r="C58" s="2">
        <v>45250</v>
      </c>
      <c r="D58" s="2">
        <v>45252</v>
      </c>
      <c r="E58" s="1" t="s">
        <v>49</v>
      </c>
      <c r="F58" s="4" t="s">
        <v>89</v>
      </c>
      <c r="G58" s="1" t="s">
        <v>36</v>
      </c>
      <c r="H58" s="4" t="s">
        <v>92</v>
      </c>
      <c r="I58" s="4" t="s">
        <v>96</v>
      </c>
      <c r="J58" s="4" t="s">
        <v>99</v>
      </c>
      <c r="K58" s="4">
        <v>7</v>
      </c>
      <c r="L58" s="4" t="s">
        <v>105</v>
      </c>
      <c r="M58" s="8">
        <v>45250.502696759257</v>
      </c>
      <c r="N58" s="8">
        <v>45251.73878472222</v>
      </c>
      <c r="O58" s="1">
        <f>(N58-M58)*24</f>
        <v>29.666111111117061</v>
      </c>
      <c r="P58" s="1">
        <v>10</v>
      </c>
      <c r="Q58" s="4">
        <v>5.0000000000000001E-3</v>
      </c>
      <c r="R58" s="4">
        <v>0.01</v>
      </c>
      <c r="S58" s="4" t="s">
        <v>18</v>
      </c>
      <c r="T58" s="9">
        <v>374592</v>
      </c>
      <c r="U58" s="9">
        <v>9959763</v>
      </c>
      <c r="V58" s="1"/>
    </row>
    <row r="59" spans="1:22" x14ac:dyDescent="0.35">
      <c r="A59" s="1" t="s">
        <v>12</v>
      </c>
      <c r="B59" s="1" t="s">
        <v>21</v>
      </c>
      <c r="C59" s="2">
        <v>45252</v>
      </c>
      <c r="D59" s="2">
        <v>45254</v>
      </c>
      <c r="E59" s="1" t="s">
        <v>22</v>
      </c>
      <c r="F59" s="4" t="s">
        <v>89</v>
      </c>
      <c r="G59" s="1" t="s">
        <v>36</v>
      </c>
      <c r="H59" s="4" t="s">
        <v>93</v>
      </c>
      <c r="I59" s="6" t="s">
        <v>99</v>
      </c>
      <c r="J59" s="4" t="s">
        <v>100</v>
      </c>
      <c r="K59" s="4">
        <v>3</v>
      </c>
      <c r="L59" s="4" t="s">
        <v>109</v>
      </c>
      <c r="M59" s="8">
        <v>45252.63181712963</v>
      </c>
      <c r="N59" s="8">
        <v>45253.958240740743</v>
      </c>
      <c r="O59" s="1">
        <f>(N59-M59)*24</f>
        <v>31.83416666672565</v>
      </c>
      <c r="P59" s="1">
        <v>10</v>
      </c>
      <c r="Q59" s="4">
        <v>5.0000000000000001E-3</v>
      </c>
      <c r="R59" s="4">
        <v>0.01</v>
      </c>
      <c r="S59" s="4" t="s">
        <v>18</v>
      </c>
      <c r="T59" s="9">
        <v>382782</v>
      </c>
      <c r="U59" s="9">
        <v>9964814</v>
      </c>
      <c r="V59" s="1"/>
    </row>
    <row r="60" spans="1:22" x14ac:dyDescent="0.35">
      <c r="A60" s="1" t="s">
        <v>12</v>
      </c>
      <c r="B60" s="6" t="s">
        <v>13</v>
      </c>
      <c r="C60" s="5">
        <v>45252</v>
      </c>
      <c r="D60" s="5">
        <v>45254</v>
      </c>
      <c r="E60" s="6" t="s">
        <v>40</v>
      </c>
      <c r="F60" s="4" t="s">
        <v>89</v>
      </c>
      <c r="G60" s="1" t="s">
        <v>19</v>
      </c>
      <c r="H60" s="6" t="s">
        <v>38</v>
      </c>
      <c r="I60" s="4" t="s">
        <v>97</v>
      </c>
      <c r="J60" s="4" t="s">
        <v>99</v>
      </c>
      <c r="K60" s="4">
        <v>3</v>
      </c>
      <c r="L60" s="4" t="s">
        <v>106</v>
      </c>
      <c r="M60" s="7">
        <v>45252.645624999997</v>
      </c>
      <c r="N60" s="7">
        <v>45253.992835648147</v>
      </c>
      <c r="O60" s="6">
        <f>(N60-M60)*24</f>
        <v>32.333055555587634</v>
      </c>
      <c r="P60" s="6">
        <v>10</v>
      </c>
      <c r="Q60" s="4">
        <v>5.0000000000000001E-3</v>
      </c>
      <c r="R60" s="4">
        <v>0.01</v>
      </c>
      <c r="S60" s="4" t="s">
        <v>18</v>
      </c>
      <c r="T60" s="9">
        <v>382794</v>
      </c>
      <c r="U60" s="9">
        <v>9964774</v>
      </c>
      <c r="V60" s="6" t="s">
        <v>42</v>
      </c>
    </row>
    <row r="61" spans="1:22" x14ac:dyDescent="0.35">
      <c r="A61" s="1" t="s">
        <v>12</v>
      </c>
      <c r="B61" s="6" t="s">
        <v>13</v>
      </c>
      <c r="C61" s="5">
        <v>45252</v>
      </c>
      <c r="D61" s="5">
        <v>45254</v>
      </c>
      <c r="E61" s="6" t="s">
        <v>43</v>
      </c>
      <c r="F61" s="4" t="s">
        <v>89</v>
      </c>
      <c r="G61" s="1" t="s">
        <v>19</v>
      </c>
      <c r="H61" s="6" t="s">
        <v>17</v>
      </c>
      <c r="I61" s="4" t="s">
        <v>97</v>
      </c>
      <c r="J61" s="4" t="s">
        <v>99</v>
      </c>
      <c r="K61" s="4">
        <v>3</v>
      </c>
      <c r="L61" s="4" t="s">
        <v>106</v>
      </c>
      <c r="M61" s="7">
        <v>45252.64565972222</v>
      </c>
      <c r="N61" s="7">
        <v>45253.916481481479</v>
      </c>
      <c r="O61" s="6">
        <f>(N61-M61)*24</f>
        <v>30.499722222215496</v>
      </c>
      <c r="P61" s="6">
        <v>10</v>
      </c>
      <c r="Q61" s="4">
        <v>5.0000000000000001E-3</v>
      </c>
      <c r="R61" s="4">
        <v>0.01</v>
      </c>
      <c r="S61" s="4" t="s">
        <v>18</v>
      </c>
      <c r="T61" s="9">
        <v>382794</v>
      </c>
      <c r="U61" s="9">
        <v>9964774</v>
      </c>
      <c r="V61" s="6" t="s">
        <v>42</v>
      </c>
    </row>
    <row r="62" spans="1:22" x14ac:dyDescent="0.35">
      <c r="A62" s="1" t="s">
        <v>15</v>
      </c>
      <c r="B62" s="1" t="s">
        <v>16</v>
      </c>
      <c r="C62" s="2">
        <v>45252</v>
      </c>
      <c r="D62" s="2">
        <v>45254</v>
      </c>
      <c r="E62" s="1" t="s">
        <v>37</v>
      </c>
      <c r="F62" s="4" t="s">
        <v>89</v>
      </c>
      <c r="G62" s="1" t="s">
        <v>19</v>
      </c>
      <c r="H62" s="1" t="s">
        <v>38</v>
      </c>
      <c r="I62" s="4" t="s">
        <v>97</v>
      </c>
      <c r="J62" s="4" t="s">
        <v>99</v>
      </c>
      <c r="K62" s="4">
        <v>4</v>
      </c>
      <c r="L62" s="4" t="s">
        <v>106</v>
      </c>
      <c r="M62" s="8">
        <v>45252.673402777778</v>
      </c>
      <c r="N62" s="8">
        <v>45253.985925925925</v>
      </c>
      <c r="O62" s="1">
        <f>(N62-M62)*24</f>
        <v>31.5005555555108</v>
      </c>
      <c r="P62" s="1">
        <v>10</v>
      </c>
      <c r="Q62" s="4">
        <v>5.0000000000000001E-3</v>
      </c>
      <c r="R62" s="4">
        <v>0.01</v>
      </c>
      <c r="S62" s="4" t="s">
        <v>18</v>
      </c>
      <c r="T62" s="9">
        <v>382134</v>
      </c>
      <c r="U62" s="9">
        <v>9964854</v>
      </c>
      <c r="V62" s="1"/>
    </row>
    <row r="63" spans="1:22" x14ac:dyDescent="0.35">
      <c r="A63" s="1" t="s">
        <v>15</v>
      </c>
      <c r="B63" s="6" t="s">
        <v>16</v>
      </c>
      <c r="C63" s="5">
        <v>45252</v>
      </c>
      <c r="D63" s="5">
        <v>45254</v>
      </c>
      <c r="E63" s="6" t="s">
        <v>14</v>
      </c>
      <c r="F63" s="4" t="s">
        <v>89</v>
      </c>
      <c r="G63" s="1" t="s">
        <v>19</v>
      </c>
      <c r="H63" s="6" t="s">
        <v>17</v>
      </c>
      <c r="I63" s="4" t="s">
        <v>97</v>
      </c>
      <c r="J63" s="4" t="s">
        <v>99</v>
      </c>
      <c r="K63" s="4">
        <v>4</v>
      </c>
      <c r="L63" s="4" t="s">
        <v>106</v>
      </c>
      <c r="M63" s="7">
        <v>45252.680300925924</v>
      </c>
      <c r="N63" s="7">
        <v>45253.8747337963</v>
      </c>
      <c r="O63" s="6">
        <f>(N63-M63)*24</f>
        <v>28.666388889017981</v>
      </c>
      <c r="P63" s="6">
        <v>10</v>
      </c>
      <c r="Q63" s="4">
        <v>5.0000000000000001E-3</v>
      </c>
      <c r="R63" s="4">
        <v>0.01</v>
      </c>
      <c r="S63" s="4" t="s">
        <v>18</v>
      </c>
      <c r="T63" s="9">
        <v>382134</v>
      </c>
      <c r="U63" s="9">
        <v>9964854</v>
      </c>
      <c r="V63" s="6" t="s">
        <v>20</v>
      </c>
    </row>
    <row r="64" spans="1:22" x14ac:dyDescent="0.35">
      <c r="A64" s="1" t="s">
        <v>23</v>
      </c>
      <c r="B64" s="1" t="s">
        <v>63</v>
      </c>
      <c r="C64" s="2">
        <v>45255</v>
      </c>
      <c r="D64" s="2">
        <v>45257</v>
      </c>
      <c r="E64" s="1" t="s">
        <v>53</v>
      </c>
      <c r="F64" s="1" t="s">
        <v>90</v>
      </c>
      <c r="G64" s="1" t="s">
        <v>26</v>
      </c>
      <c r="H64" s="1" t="s">
        <v>94</v>
      </c>
      <c r="I64" s="4" t="s">
        <v>98</v>
      </c>
      <c r="J64" s="4" t="s">
        <v>101</v>
      </c>
      <c r="K64" s="4">
        <v>0</v>
      </c>
      <c r="L64" s="4" t="s">
        <v>110</v>
      </c>
      <c r="M64" s="8">
        <v>45255.393958333334</v>
      </c>
      <c r="N64" s="8">
        <v>45256.70648148148</v>
      </c>
      <c r="O64" s="1">
        <f>(N64-M64)*24</f>
        <v>31.5005555555108</v>
      </c>
      <c r="P64" s="1">
        <v>100</v>
      </c>
      <c r="Q64" s="4">
        <v>0.02</v>
      </c>
      <c r="R64" s="4">
        <v>0.02</v>
      </c>
      <c r="S64" s="4" t="s">
        <v>18</v>
      </c>
      <c r="T64" s="9">
        <v>378529</v>
      </c>
      <c r="U64" s="9">
        <v>9960571</v>
      </c>
      <c r="V64" s="1" t="s">
        <v>64</v>
      </c>
    </row>
    <row r="65" spans="1:22" x14ac:dyDescent="0.35">
      <c r="A65" s="1" t="s">
        <v>23</v>
      </c>
      <c r="B65" s="1" t="s">
        <v>78</v>
      </c>
      <c r="C65" s="2">
        <v>45255</v>
      </c>
      <c r="D65" s="2">
        <v>45257</v>
      </c>
      <c r="E65" s="1" t="s">
        <v>71</v>
      </c>
      <c r="F65" s="1" t="s">
        <v>90</v>
      </c>
      <c r="G65" s="1" t="s">
        <v>26</v>
      </c>
      <c r="H65" s="1" t="s">
        <v>94</v>
      </c>
      <c r="I65" s="4" t="s">
        <v>98</v>
      </c>
      <c r="J65" s="4" t="s">
        <v>101</v>
      </c>
      <c r="K65" s="4">
        <v>0</v>
      </c>
      <c r="L65" s="4" t="s">
        <v>110</v>
      </c>
      <c r="M65" s="8">
        <v>45255.410949074074</v>
      </c>
      <c r="N65" s="8">
        <v>45256.959537037037</v>
      </c>
      <c r="O65" s="1">
        <f>(N65-M65)*24</f>
        <v>37.166111111117061</v>
      </c>
      <c r="P65" s="1">
        <v>100</v>
      </c>
      <c r="Q65" s="4">
        <v>0.02</v>
      </c>
      <c r="R65" s="4">
        <v>0.02</v>
      </c>
      <c r="S65" s="4" t="s">
        <v>18</v>
      </c>
      <c r="T65" s="9">
        <v>375916</v>
      </c>
      <c r="U65" s="9">
        <v>9958544</v>
      </c>
      <c r="V65" s="1" t="s">
        <v>64</v>
      </c>
    </row>
    <row r="66" spans="1:22" x14ac:dyDescent="0.35">
      <c r="A66" s="1" t="s">
        <v>34</v>
      </c>
      <c r="B66" s="1" t="s">
        <v>46</v>
      </c>
      <c r="C66" s="2">
        <v>45255</v>
      </c>
      <c r="D66" s="2">
        <v>45257</v>
      </c>
      <c r="E66" s="1" t="s">
        <v>47</v>
      </c>
      <c r="F66" s="4" t="s">
        <v>89</v>
      </c>
      <c r="G66" s="1" t="s">
        <v>19</v>
      </c>
      <c r="H66" s="4" t="s">
        <v>92</v>
      </c>
      <c r="I66" s="4" t="s">
        <v>96</v>
      </c>
      <c r="J66" s="4" t="s">
        <v>99</v>
      </c>
      <c r="K66" s="4">
        <v>2</v>
      </c>
      <c r="L66" s="4" t="s">
        <v>105</v>
      </c>
      <c r="M66" s="8">
        <v>45255.437245370369</v>
      </c>
      <c r="N66" s="8">
        <v>45256.742812500001</v>
      </c>
      <c r="O66" s="1">
        <f>(N66-M66)*24</f>
        <v>31.333611111156642</v>
      </c>
      <c r="P66" s="1">
        <v>10</v>
      </c>
      <c r="Q66" s="4">
        <v>5.0000000000000001E-3</v>
      </c>
      <c r="R66" s="4">
        <v>0.01</v>
      </c>
      <c r="S66" s="4" t="s">
        <v>18</v>
      </c>
      <c r="T66" s="9">
        <v>374592</v>
      </c>
      <c r="U66" s="9">
        <v>9959763</v>
      </c>
      <c r="V66" s="1"/>
    </row>
    <row r="67" spans="1:22" x14ac:dyDescent="0.35">
      <c r="A67" s="1" t="s">
        <v>34</v>
      </c>
      <c r="B67" s="1" t="s">
        <v>46</v>
      </c>
      <c r="C67" s="2">
        <v>45255</v>
      </c>
      <c r="D67" s="2">
        <v>45257</v>
      </c>
      <c r="E67" s="1" t="s">
        <v>49</v>
      </c>
      <c r="F67" s="4" t="s">
        <v>89</v>
      </c>
      <c r="G67" s="1" t="s">
        <v>36</v>
      </c>
      <c r="H67" s="4" t="s">
        <v>92</v>
      </c>
      <c r="I67" s="4" t="s">
        <v>96</v>
      </c>
      <c r="J67" s="4" t="s">
        <v>99</v>
      </c>
      <c r="K67" s="4">
        <v>7</v>
      </c>
      <c r="L67" s="4" t="s">
        <v>105</v>
      </c>
      <c r="M67" s="8">
        <v>45255.437592592592</v>
      </c>
      <c r="N67" s="8">
        <v>45256.694513888891</v>
      </c>
      <c r="O67" s="1">
        <f>(N67-M67)*24</f>
        <v>30.166111111175269</v>
      </c>
      <c r="P67" s="1">
        <v>10</v>
      </c>
      <c r="Q67" s="4">
        <v>5.0000000000000001E-3</v>
      </c>
      <c r="R67" s="4">
        <v>0.01</v>
      </c>
      <c r="S67" s="4" t="s">
        <v>18</v>
      </c>
      <c r="T67" s="9">
        <v>374592</v>
      </c>
      <c r="U67" s="9">
        <v>9959763</v>
      </c>
      <c r="V67" s="1"/>
    </row>
    <row r="68" spans="1:22" x14ac:dyDescent="0.35">
      <c r="A68" s="1" t="s">
        <v>34</v>
      </c>
      <c r="B68" s="1" t="s">
        <v>35</v>
      </c>
      <c r="C68" s="2">
        <v>45255</v>
      </c>
      <c r="D68" s="2">
        <v>45257</v>
      </c>
      <c r="E68" s="1" t="s">
        <v>33</v>
      </c>
      <c r="F68" s="4" t="s">
        <v>89</v>
      </c>
      <c r="G68" s="1" t="s">
        <v>36</v>
      </c>
      <c r="H68" s="4" t="s">
        <v>92</v>
      </c>
      <c r="I68" s="4" t="s">
        <v>96</v>
      </c>
      <c r="J68" s="4" t="s">
        <v>99</v>
      </c>
      <c r="K68" s="4">
        <v>2</v>
      </c>
      <c r="L68" s="4" t="s">
        <v>105</v>
      </c>
      <c r="M68" s="8">
        <v>45255.453229166669</v>
      </c>
      <c r="N68" s="8">
        <v>45257.022685185184</v>
      </c>
      <c r="O68" s="1">
        <f>(N68-M68)*24</f>
        <v>37.666944444354158</v>
      </c>
      <c r="P68" s="1">
        <v>10</v>
      </c>
      <c r="Q68" s="4">
        <v>5.0000000000000001E-3</v>
      </c>
      <c r="R68" s="4">
        <v>0.01</v>
      </c>
      <c r="S68" s="4" t="s">
        <v>18</v>
      </c>
      <c r="T68" s="9">
        <v>374591</v>
      </c>
      <c r="U68" s="9">
        <v>9959822</v>
      </c>
      <c r="V68" s="1"/>
    </row>
    <row r="69" spans="1:22" x14ac:dyDescent="0.35">
      <c r="A69" s="1" t="s">
        <v>23</v>
      </c>
      <c r="B69" s="1" t="s">
        <v>28</v>
      </c>
      <c r="C69" s="2">
        <v>45255</v>
      </c>
      <c r="D69" s="2">
        <v>45257</v>
      </c>
      <c r="E69" s="1" t="s">
        <v>25</v>
      </c>
      <c r="F69" s="4" t="s">
        <v>89</v>
      </c>
      <c r="G69" s="1" t="s">
        <v>19</v>
      </c>
      <c r="H69" s="4" t="s">
        <v>93</v>
      </c>
      <c r="I69" s="4" t="s">
        <v>96</v>
      </c>
      <c r="J69" s="4" t="s">
        <v>99</v>
      </c>
      <c r="K69" s="4">
        <v>2</v>
      </c>
      <c r="L69" s="4" t="s">
        <v>118</v>
      </c>
      <c r="M69" s="8">
        <v>45255.487893518519</v>
      </c>
      <c r="N69" s="8">
        <v>45256.710104166668</v>
      </c>
      <c r="O69" s="1">
        <f>(N69-M69)*24</f>
        <v>29.333055555587634</v>
      </c>
      <c r="P69" s="1">
        <v>10</v>
      </c>
      <c r="Q69" s="4" t="s">
        <v>29</v>
      </c>
      <c r="R69" s="4" t="s">
        <v>30</v>
      </c>
      <c r="S69" s="4" t="s">
        <v>18</v>
      </c>
      <c r="T69" s="9">
        <v>374826</v>
      </c>
      <c r="U69" s="9">
        <v>9960108</v>
      </c>
      <c r="V69" s="1" t="s">
        <v>31</v>
      </c>
    </row>
    <row r="70" spans="1:22" x14ac:dyDescent="0.35">
      <c r="A70" s="1" t="s">
        <v>12</v>
      </c>
      <c r="B70" s="1" t="s">
        <v>21</v>
      </c>
      <c r="C70" s="2">
        <v>45257</v>
      </c>
      <c r="D70" s="2">
        <v>45259</v>
      </c>
      <c r="E70" s="1" t="s">
        <v>22</v>
      </c>
      <c r="F70" s="4" t="s">
        <v>89</v>
      </c>
      <c r="G70" s="1" t="s">
        <v>36</v>
      </c>
      <c r="H70" s="4" t="s">
        <v>93</v>
      </c>
      <c r="I70" s="6" t="s">
        <v>99</v>
      </c>
      <c r="J70" s="4" t="s">
        <v>100</v>
      </c>
      <c r="K70" s="4">
        <v>3</v>
      </c>
      <c r="L70" s="4" t="s">
        <v>109</v>
      </c>
      <c r="M70" s="8">
        <v>45257.562164351853</v>
      </c>
      <c r="N70" s="8">
        <v>45258.860810185186</v>
      </c>
      <c r="O70" s="1">
        <f>(N70-M70)*24</f>
        <v>31.167499999981374</v>
      </c>
      <c r="P70" s="1">
        <v>10</v>
      </c>
      <c r="Q70" s="4">
        <v>5.0000000000000001E-3</v>
      </c>
      <c r="R70" s="4">
        <v>0.01</v>
      </c>
      <c r="S70" s="4" t="s">
        <v>18</v>
      </c>
      <c r="T70" s="9">
        <v>382782</v>
      </c>
      <c r="U70" s="9">
        <v>9964814</v>
      </c>
      <c r="V70" s="1"/>
    </row>
    <row r="71" spans="1:22" x14ac:dyDescent="0.35">
      <c r="A71" s="1" t="s">
        <v>12</v>
      </c>
      <c r="B71" s="1" t="s">
        <v>13</v>
      </c>
      <c r="C71" s="2">
        <v>45257</v>
      </c>
      <c r="D71" s="2">
        <v>45259</v>
      </c>
      <c r="E71" s="1" t="s">
        <v>40</v>
      </c>
      <c r="F71" s="4" t="s">
        <v>89</v>
      </c>
      <c r="G71" s="1" t="s">
        <v>19</v>
      </c>
      <c r="H71" s="1" t="s">
        <v>38</v>
      </c>
      <c r="I71" s="4" t="s">
        <v>97</v>
      </c>
      <c r="J71" s="4" t="s">
        <v>99</v>
      </c>
      <c r="K71" s="4">
        <v>3</v>
      </c>
      <c r="L71" s="4" t="s">
        <v>106</v>
      </c>
      <c r="M71" s="8">
        <v>45257.568749999999</v>
      </c>
      <c r="N71" s="8">
        <v>45258.881238425929</v>
      </c>
      <c r="O71" s="1">
        <f>(N71-M71)*24</f>
        <v>31.499722222331911</v>
      </c>
      <c r="P71" s="1">
        <v>10</v>
      </c>
      <c r="Q71" s="4">
        <v>5.0000000000000001E-3</v>
      </c>
      <c r="R71" s="4">
        <v>0.01</v>
      </c>
      <c r="S71" s="4" t="s">
        <v>18</v>
      </c>
      <c r="T71" s="9">
        <v>382794</v>
      </c>
      <c r="U71" s="9">
        <v>9964774</v>
      </c>
      <c r="V71" s="1"/>
    </row>
    <row r="72" spans="1:22" x14ac:dyDescent="0.35">
      <c r="A72" s="1" t="s">
        <v>12</v>
      </c>
      <c r="B72" s="1" t="s">
        <v>13</v>
      </c>
      <c r="C72" s="2">
        <v>45257</v>
      </c>
      <c r="D72" s="2">
        <v>45259</v>
      </c>
      <c r="E72" s="1" t="s">
        <v>43</v>
      </c>
      <c r="F72" s="4" t="s">
        <v>89</v>
      </c>
      <c r="G72" s="1" t="s">
        <v>19</v>
      </c>
      <c r="H72" s="1" t="s">
        <v>17</v>
      </c>
      <c r="I72" s="4" t="s">
        <v>97</v>
      </c>
      <c r="J72" s="4" t="s">
        <v>99</v>
      </c>
      <c r="K72" s="4">
        <v>3</v>
      </c>
      <c r="L72" s="4" t="s">
        <v>106</v>
      </c>
      <c r="M72" s="8">
        <v>45257.570370370369</v>
      </c>
      <c r="N72" s="8">
        <v>45258.841192129628</v>
      </c>
      <c r="O72" s="1">
        <f>(N72-M72)*24</f>
        <v>30.499722222215496</v>
      </c>
      <c r="P72" s="1">
        <v>10</v>
      </c>
      <c r="Q72" s="4">
        <v>5.0000000000000001E-3</v>
      </c>
      <c r="R72" s="4">
        <v>0.01</v>
      </c>
      <c r="S72" s="4" t="s">
        <v>18</v>
      </c>
      <c r="T72" s="9">
        <v>382794</v>
      </c>
      <c r="U72" s="9">
        <v>9964774</v>
      </c>
      <c r="V72" s="1"/>
    </row>
    <row r="73" spans="1:22" x14ac:dyDescent="0.35">
      <c r="A73" s="1" t="s">
        <v>15</v>
      </c>
      <c r="B73" s="1" t="s">
        <v>16</v>
      </c>
      <c r="C73" s="2">
        <v>45257</v>
      </c>
      <c r="D73" s="2">
        <v>45259</v>
      </c>
      <c r="E73" s="1" t="s">
        <v>14</v>
      </c>
      <c r="F73" s="4" t="s">
        <v>89</v>
      </c>
      <c r="G73" s="1" t="s">
        <v>19</v>
      </c>
      <c r="H73" s="1" t="s">
        <v>17</v>
      </c>
      <c r="I73" s="4" t="s">
        <v>97</v>
      </c>
      <c r="J73" s="4" t="s">
        <v>99</v>
      </c>
      <c r="K73" s="4">
        <v>4</v>
      </c>
      <c r="L73" s="4" t="s">
        <v>106</v>
      </c>
      <c r="M73" s="8">
        <v>45257.597372685188</v>
      </c>
      <c r="N73" s="8">
        <v>45258.798750000002</v>
      </c>
      <c r="O73" s="1">
        <f>(N73-M73)*24</f>
        <v>28.833055555529427</v>
      </c>
      <c r="P73" s="1">
        <v>10</v>
      </c>
      <c r="Q73" s="4">
        <v>5.0000000000000001E-3</v>
      </c>
      <c r="R73" s="4">
        <v>0.01</v>
      </c>
      <c r="S73" s="4" t="s">
        <v>18</v>
      </c>
      <c r="T73" s="9">
        <v>382134</v>
      </c>
      <c r="U73" s="9">
        <v>9964854</v>
      </c>
      <c r="V73" s="1"/>
    </row>
  </sheetData>
  <sortState ref="A2:V73">
    <sortCondition ref="M1"/>
  </sortState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2026-09-10T15:00:58Z</dcterms:created>
  <dcterms:modified xsi:type="dcterms:W3CDTF">2026-09-15T15:41:14Z</dcterms:modified>
</cp:coreProperties>
</file>