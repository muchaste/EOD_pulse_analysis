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efa\Seafile\Uni\01 Research Projects\04 Uganda 2023 EOD loggers\01 Data\"/>
    </mc:Choice>
  </mc:AlternateContent>
  <xr:revisionPtr revIDLastSave="0" documentId="13_ncr:1_{0853D337-EE2B-4439-B7EE-57F12B160063}" xr6:coauthVersionLast="36" xr6:coauthVersionMax="47" xr10:uidLastSave="{00000000-0000-0000-0000-000000000000}"/>
  <bookViews>
    <workbookView xWindow="14400" yWindow="0" windowWidth="24096" windowHeight="20976" xr2:uid="{1B50041A-606E-4BAA-8BC2-5A1CB87C2F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X25" i="1" l="1"/>
  <c r="AX21" i="1"/>
  <c r="AX38" i="1"/>
  <c r="AX37" i="1"/>
  <c r="AX36" i="1"/>
  <c r="AX35" i="1"/>
  <c r="AX52" i="1"/>
  <c r="AX20" i="1"/>
  <c r="AX33" i="1"/>
  <c r="AX30" i="1"/>
  <c r="AX24" i="1"/>
  <c r="AX34" i="1"/>
  <c r="AX32" i="1"/>
  <c r="AX31" i="1"/>
  <c r="AX29" i="1"/>
  <c r="AX28" i="1"/>
  <c r="AX27" i="1"/>
  <c r="AX19" i="1"/>
  <c r="AX17" i="1"/>
  <c r="AX15" i="1"/>
  <c r="AX13" i="1"/>
  <c r="AX11" i="1"/>
  <c r="AX9" i="1"/>
  <c r="AX7" i="1"/>
  <c r="AX5" i="1"/>
  <c r="AX3" i="1"/>
  <c r="AX16" i="1"/>
  <c r="AX14" i="1"/>
  <c r="AX12" i="1"/>
  <c r="AX10" i="1"/>
  <c r="AX8" i="1"/>
  <c r="AX6" i="1"/>
  <c r="AX4" i="1"/>
  <c r="AX2" i="1"/>
  <c r="AX51" i="1"/>
  <c r="AX49" i="1"/>
  <c r="AX46" i="1"/>
  <c r="AX44" i="1"/>
  <c r="AX42" i="1"/>
  <c r="AX40" i="1"/>
  <c r="AX50" i="1"/>
  <c r="AX48" i="1"/>
  <c r="AX47" i="1"/>
  <c r="AX45" i="1"/>
  <c r="AX43" i="1"/>
  <c r="AX41" i="1"/>
  <c r="AX39" i="1"/>
  <c r="AX72" i="1"/>
  <c r="AX70" i="1"/>
  <c r="AX68" i="1"/>
  <c r="AX66" i="1"/>
  <c r="AX64" i="1"/>
  <c r="AX62" i="1"/>
  <c r="AX60" i="1"/>
  <c r="AX18" i="1"/>
  <c r="AX23" i="1"/>
  <c r="AX26" i="1"/>
  <c r="AX22" i="1"/>
  <c r="AX58" i="1"/>
  <c r="AX57" i="1"/>
  <c r="AX56" i="1"/>
  <c r="AX55" i="1"/>
  <c r="AX54" i="1"/>
  <c r="AX53" i="1"/>
  <c r="AX73" i="1"/>
  <c r="AX71" i="1"/>
  <c r="AX69" i="1"/>
  <c r="AX67" i="1"/>
  <c r="AX65" i="1"/>
  <c r="AX63" i="1"/>
  <c r="AX61" i="1"/>
  <c r="AX59" i="1"/>
</calcChain>
</file>

<file path=xl/sharedStrings.xml><?xml version="1.0" encoding="utf-8"?>
<sst xmlns="http://schemas.openxmlformats.org/spreadsheetml/2006/main" count="787" uniqueCount="146">
  <si>
    <t>System</t>
  </si>
  <si>
    <t>Site</t>
  </si>
  <si>
    <t>Start_Date</t>
  </si>
  <si>
    <t>End_Date</t>
  </si>
  <si>
    <t>Logger_ID</t>
  </si>
  <si>
    <t>t_first_rec_start</t>
  </si>
  <si>
    <t>t_last_rec_end</t>
  </si>
  <si>
    <t>Recorded_dur_h</t>
  </si>
  <si>
    <t>Gain_factor</t>
  </si>
  <si>
    <t>events_thresh</t>
  </si>
  <si>
    <t>BP_FFT_high_cutoff</t>
  </si>
  <si>
    <t>Notes</t>
  </si>
  <si>
    <t>PL</t>
  </si>
  <si>
    <t>PLP</t>
  </si>
  <si>
    <t>L1</t>
  </si>
  <si>
    <t>SL</t>
  </si>
  <si>
    <t>SLP</t>
  </si>
  <si>
    <t>Surface</t>
  </si>
  <si>
    <t>13kHz</t>
  </si>
  <si>
    <t>Orthogonal</t>
  </si>
  <si>
    <t>Logger has surfaced - check light logger data</t>
  </si>
  <si>
    <t>PLS</t>
  </si>
  <si>
    <t>L10</t>
  </si>
  <si>
    <t>LN</t>
  </si>
  <si>
    <t>LN12</t>
  </si>
  <si>
    <t>L11</t>
  </si>
  <si>
    <t>Point</t>
  </si>
  <si>
    <t>0.02+0.01</t>
  </si>
  <si>
    <t>LN17</t>
  </si>
  <si>
    <t>0.005 + 0.002</t>
  </si>
  <si>
    <t>0.01 + 0.002</t>
  </si>
  <si>
    <t>Logger was prepared for River -&gt; only 10x gain</t>
  </si>
  <si>
    <t>LN13</t>
  </si>
  <si>
    <t>L12</t>
  </si>
  <si>
    <t>JR</t>
  </si>
  <si>
    <t>JR2</t>
  </si>
  <si>
    <t>Parallel</t>
  </si>
  <si>
    <t>L2</t>
  </si>
  <si>
    <t>Ground</t>
  </si>
  <si>
    <t>Phase-locking / co-bursting!</t>
  </si>
  <si>
    <t>L3</t>
  </si>
  <si>
    <t>Flooded</t>
  </si>
  <si>
    <t>Electrode-holding stick was moved, possibly due to the storm</t>
  </si>
  <si>
    <t>L4</t>
  </si>
  <si>
    <t>Lost time - corrected via crosscorrelation with L3 file</t>
  </si>
  <si>
    <t>Lost time, deleted the same number of files as for logger 3; crosscorr with L3 file, new timestamp: 08/11/2023  12:12:33</t>
  </si>
  <si>
    <t>JR1</t>
  </si>
  <si>
    <t>L5</t>
  </si>
  <si>
    <t>Electrode cable completely parallel to L6 because of higher current</t>
  </si>
  <si>
    <t>L6</t>
  </si>
  <si>
    <t>Lost time, correlated with L5 file, new first timestamp: 30/10/2023  10:44:30</t>
  </si>
  <si>
    <t>Lost time, correlated with L5 file, new first timestamp: 06/11/2023  11:13:32</t>
  </si>
  <si>
    <t>LN1</t>
  </si>
  <si>
    <t>L7</t>
  </si>
  <si>
    <t>0.02 + 0.04</t>
  </si>
  <si>
    <t>High cutoff 13kHz -&gt; Noise detected, clean up events</t>
  </si>
  <si>
    <t>LN2</t>
  </si>
  <si>
    <t>LN3</t>
  </si>
  <si>
    <t>Some EODs not detected - check!</t>
  </si>
  <si>
    <t>LN4</t>
  </si>
  <si>
    <t>Lost time, correlated to L8 file, new_first_timestamp: 30/10/2023 10:14</t>
  </si>
  <si>
    <t>LN6</t>
  </si>
  <si>
    <t>LN7</t>
  </si>
  <si>
    <t>LN9</t>
  </si>
  <si>
    <t>LN14</t>
  </si>
  <si>
    <t>tried with 0.01 thresholds, only more noise</t>
  </si>
  <si>
    <t>L8</t>
  </si>
  <si>
    <t>LN5</t>
  </si>
  <si>
    <t>LN8</t>
  </si>
  <si>
    <t>almost nothing, weird noise</t>
  </si>
  <si>
    <t>LN10</t>
  </si>
  <si>
    <t>channel 1 goes dead in file L8-20231121T144747 - maybe due to lightning?? The logger had recorded more than 24h before, removed recordings with dead channel.</t>
  </si>
  <si>
    <t>L9</t>
  </si>
  <si>
    <t>LNI1</t>
  </si>
  <si>
    <t>0.01+0.02</t>
  </si>
  <si>
    <t>LNI2</t>
  </si>
  <si>
    <t>LNI3</t>
  </si>
  <si>
    <t>LNI4</t>
  </si>
  <si>
    <t>LN11</t>
  </si>
  <si>
    <t>LN16</t>
  </si>
  <si>
    <t>Extraction_Threshold</t>
  </si>
  <si>
    <t>Lost time, crosscorr with L2 file, new timestamp: 15/11/2023  13:59:11</t>
  </si>
  <si>
    <t>Only recorded until 3am</t>
  </si>
  <si>
    <t>channel 8 data missing</t>
  </si>
  <si>
    <t>Long pulses were not detected - re-ran detection with new parameters</t>
  </si>
  <si>
    <t>GPS_UTM_36M_East</t>
  </si>
  <si>
    <t>GPS_UTM_36M_North</t>
  </si>
  <si>
    <t>Ch_0</t>
  </si>
  <si>
    <t>Vertical_location</t>
  </si>
  <si>
    <t>Orientation</t>
  </si>
  <si>
    <t>Horizontal</t>
  </si>
  <si>
    <t>Vertical</t>
  </si>
  <si>
    <t>Direction</t>
  </si>
  <si>
    <t>Middle</t>
  </si>
  <si>
    <t>Below_surface</t>
  </si>
  <si>
    <t>Range</t>
  </si>
  <si>
    <t>Ch_7</t>
  </si>
  <si>
    <t>Shore</t>
  </si>
  <si>
    <t>Vegetation</t>
  </si>
  <si>
    <t>Open_Surface</t>
  </si>
  <si>
    <t>Open</t>
  </si>
  <si>
    <t>Cover</t>
  </si>
  <si>
    <t>Open_Ground</t>
  </si>
  <si>
    <t>Vegetation_cover_edge_ch</t>
  </si>
  <si>
    <t>Dominant_veg</t>
  </si>
  <si>
    <t>Moon_phase</t>
  </si>
  <si>
    <t>Weather</t>
  </si>
  <si>
    <t>Rain</t>
  </si>
  <si>
    <t>Papyrus</t>
  </si>
  <si>
    <t>Depth_ch0_set_cm</t>
  </si>
  <si>
    <t>Depth_mid_set_cm</t>
  </si>
  <si>
    <t>Depth_ch7_set_cm</t>
  </si>
  <si>
    <t>DO_ch0_set_AS</t>
  </si>
  <si>
    <t>DO_mid_set_AS</t>
  </si>
  <si>
    <t>DO_ch7_set_AS</t>
  </si>
  <si>
    <t>T_ch0_set_C</t>
  </si>
  <si>
    <t>T_mid_set_C</t>
  </si>
  <si>
    <t>T_ch7_set_C</t>
  </si>
  <si>
    <t>Turbidity_set_NTU</t>
  </si>
  <si>
    <t>Depth_ch0_retr_cm</t>
  </si>
  <si>
    <t>Depth_mid_retr_cm</t>
  </si>
  <si>
    <t>Depth_ch7_retr_cm</t>
  </si>
  <si>
    <t>DO_ch0_retr_AS</t>
  </si>
  <si>
    <t>DO_mid_retr_AS</t>
  </si>
  <si>
    <t>DO_ch7_retr_AS</t>
  </si>
  <si>
    <t>T_ch0_retr_C</t>
  </si>
  <si>
    <t>T_mid_retr_C</t>
  </si>
  <si>
    <t>T_ch7_retr_C</t>
  </si>
  <si>
    <t>Turbidity_retr_NTU</t>
  </si>
  <si>
    <t>Papyrus, Grass</t>
  </si>
  <si>
    <t>yes</t>
  </si>
  <si>
    <t>Miscanthidium</t>
  </si>
  <si>
    <t>Miscanthidium, Lillies</t>
  </si>
  <si>
    <t>water lillies, heavy rain</t>
  </si>
  <si>
    <t>pH_ch0_set</t>
  </si>
  <si>
    <t>pH_mid_set</t>
  </si>
  <si>
    <t>pH_ch7_set</t>
  </si>
  <si>
    <t>Conductivity_ch0_set_uS</t>
  </si>
  <si>
    <t>Conductivity_mid_set_uS</t>
  </si>
  <si>
    <t>Conductivity_ch7_set_uS</t>
  </si>
  <si>
    <t>pH_ch0_retr</t>
  </si>
  <si>
    <t>pH_mid_retr</t>
  </si>
  <si>
    <t>pH_ch7_retr</t>
  </si>
  <si>
    <t>Conductivity_ch0_retr_uS</t>
  </si>
  <si>
    <t>Conductivity_mid_retr_uS</t>
  </si>
  <si>
    <t>Conductivity_ch7_retr_uS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</si>
</sst>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Border="1"/>
    <xf numFmtId="14" fontId="0" fillId="0" borderId="0" xfId="0" applyNumberFormat="1" applyBorder="1"/>
    <xf numFmtId="164" fontId="0" fillId="0" borderId="0" xfId="0" applyNumberFormat="1" applyFill="1" applyBorder="1"/>
    <xf numFmtId="0" fontId="0" fillId="0" borderId="0" xfId="0" applyFill="1" applyBorder="1"/>
    <xf numFmtId="14" fontId="0" fillId="3" borderId="0" xfId="0" applyNumberFormat="1" applyFill="1" applyBorder="1"/>
    <xf numFmtId="0" fontId="0" fillId="3" borderId="0" xfId="0" applyFill="1" applyBorder="1"/>
    <xf numFmtId="164" fontId="0" fillId="3" borderId="0" xfId="0" applyNumberFormat="1" applyFill="1" applyBorder="1"/>
    <xf numFmtId="164" fontId="0" fillId="0" borderId="0" xfId="0" applyNumberFormat="1" applyBorder="1"/>
    <xf numFmtId="0" fontId="0" fillId="0" borderId="0" xfId="0" applyNumberFormat="1" applyBorder="1"/>
    <xf numFmtId="49" fontId="0" fillId="0" borderId="0" xfId="0" applyNumberFormat="1" applyBorder="1"/>
    <xf numFmtId="14" fontId="0" fillId="0" borderId="0" xfId="0" applyNumberFormat="1" applyFill="1" applyBorder="1"/>
    <xf numFmtId="0" fontId="0" fillId="4" borderId="0" xfId="0" applyFill="1" applyBorder="1"/>
    <xf numFmtId="0" fontId="0" fillId="2" borderId="0" xfId="0" applyFill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DF18-2126-4684-B12F-60ED5D48E1F2}">
  <dimension ref="A1:BE73"/>
  <sheetViews>
    <sheetView tabSelected="1" workbookViewId="0">
      <selection activeCell="O18" sqref="O18"/>
    </sheetView>
  </sheetViews>
  <sheetFormatPr baseColWidth="10" defaultColWidth="8.77734375" defaultRowHeight="14.4" x14ac:dyDescent="0.3"/>
  <cols>
    <col min="3" max="4" width="10.44140625" bestFit="1" customWidth="1"/>
    <col min="6" max="6" width="10.33203125" bestFit="1" customWidth="1"/>
    <col min="7" max="7" width="17.88671875" bestFit="1" customWidth="1"/>
    <col min="8" max="8" width="14.6640625" bestFit="1" customWidth="1"/>
    <col min="10" max="47" width="8.77734375" style="4"/>
    <col min="48" max="49" width="18.21875" bestFit="1" customWidth="1"/>
  </cols>
  <sheetData>
    <row r="1" spans="1:5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89</v>
      </c>
      <c r="G1" s="1" t="s">
        <v>92</v>
      </c>
      <c r="H1" s="1" t="s">
        <v>88</v>
      </c>
      <c r="I1" s="1" t="s">
        <v>87</v>
      </c>
      <c r="J1" s="4" t="s">
        <v>96</v>
      </c>
      <c r="K1" s="4" t="s">
        <v>103</v>
      </c>
      <c r="L1" s="4" t="s">
        <v>104</v>
      </c>
      <c r="M1" s="4" t="s">
        <v>106</v>
      </c>
      <c r="N1" s="4" t="s">
        <v>107</v>
      </c>
      <c r="O1" s="4" t="s">
        <v>105</v>
      </c>
      <c r="P1" s="4" t="s">
        <v>115</v>
      </c>
      <c r="Q1" s="4" t="s">
        <v>116</v>
      </c>
      <c r="R1" s="4" t="s">
        <v>117</v>
      </c>
      <c r="S1" s="4" t="s">
        <v>112</v>
      </c>
      <c r="T1" s="4" t="s">
        <v>113</v>
      </c>
      <c r="U1" s="4" t="s">
        <v>114</v>
      </c>
      <c r="V1" s="4" t="s">
        <v>134</v>
      </c>
      <c r="W1" s="4" t="s">
        <v>135</v>
      </c>
      <c r="X1" s="4" t="s">
        <v>136</v>
      </c>
      <c r="Y1" s="4" t="s">
        <v>137</v>
      </c>
      <c r="Z1" s="4" t="s">
        <v>138</v>
      </c>
      <c r="AA1" s="4" t="s">
        <v>139</v>
      </c>
      <c r="AB1" s="4" t="s">
        <v>109</v>
      </c>
      <c r="AC1" s="4" t="s">
        <v>110</v>
      </c>
      <c r="AD1" s="4" t="s">
        <v>111</v>
      </c>
      <c r="AE1" s="4" t="s">
        <v>118</v>
      </c>
      <c r="AF1" s="4" t="s">
        <v>125</v>
      </c>
      <c r="AG1" s="4" t="s">
        <v>126</v>
      </c>
      <c r="AH1" s="4" t="s">
        <v>127</v>
      </c>
      <c r="AI1" s="4" t="s">
        <v>122</v>
      </c>
      <c r="AJ1" s="4" t="s">
        <v>123</v>
      </c>
      <c r="AK1" s="4" t="s">
        <v>124</v>
      </c>
      <c r="AL1" s="4" t="s">
        <v>140</v>
      </c>
      <c r="AM1" s="4" t="s">
        <v>141</v>
      </c>
      <c r="AN1" s="4" t="s">
        <v>142</v>
      </c>
      <c r="AO1" s="4" t="s">
        <v>143</v>
      </c>
      <c r="AP1" s="4" t="s">
        <v>144</v>
      </c>
      <c r="AQ1" s="4" t="s">
        <v>145</v>
      </c>
      <c r="AR1" s="4" t="s">
        <v>119</v>
      </c>
      <c r="AS1" s="4" t="s">
        <v>120</v>
      </c>
      <c r="AT1" s="4" t="s">
        <v>121</v>
      </c>
      <c r="AU1" s="4" t="s">
        <v>128</v>
      </c>
      <c r="AV1" s="8" t="s">
        <v>5</v>
      </c>
      <c r="AW1" s="8" t="s">
        <v>6</v>
      </c>
      <c r="AX1" s="1" t="s">
        <v>7</v>
      </c>
      <c r="AY1" s="1" t="s">
        <v>8</v>
      </c>
      <c r="AZ1" s="1" t="s">
        <v>80</v>
      </c>
      <c r="BA1" s="1" t="s">
        <v>9</v>
      </c>
      <c r="BB1" s="1" t="s">
        <v>10</v>
      </c>
      <c r="BC1" s="10" t="s">
        <v>85</v>
      </c>
      <c r="BD1" s="10" t="s">
        <v>86</v>
      </c>
      <c r="BE1" s="1" t="s">
        <v>11</v>
      </c>
    </row>
    <row r="2" spans="1:57" x14ac:dyDescent="0.3">
      <c r="A2" s="1" t="s">
        <v>34</v>
      </c>
      <c r="B2" s="1" t="s">
        <v>46</v>
      </c>
      <c r="C2" s="2">
        <v>45210</v>
      </c>
      <c r="D2" s="2">
        <v>45182</v>
      </c>
      <c r="E2" s="1" t="s">
        <v>47</v>
      </c>
      <c r="F2" s="4" t="s">
        <v>90</v>
      </c>
      <c r="G2" s="1" t="s">
        <v>19</v>
      </c>
      <c r="H2" s="4" t="s">
        <v>93</v>
      </c>
      <c r="I2" s="4" t="s">
        <v>97</v>
      </c>
      <c r="J2" s="4" t="s">
        <v>100</v>
      </c>
      <c r="K2" s="4">
        <v>2</v>
      </c>
      <c r="L2" s="4" t="s">
        <v>129</v>
      </c>
      <c r="N2" s="4" t="s">
        <v>130</v>
      </c>
      <c r="AU2"/>
      <c r="AV2" s="3">
        <v>45210.385462962964</v>
      </c>
      <c r="AW2" s="3">
        <v>45211.753541666665</v>
      </c>
      <c r="AX2" s="1">
        <f t="shared" ref="AX2:AX33" si="0">(AW2-AV2)*24</f>
        <v>32.833888888824731</v>
      </c>
      <c r="AY2" s="1">
        <v>10</v>
      </c>
      <c r="AZ2" s="4">
        <v>5.0000000000000001E-3</v>
      </c>
      <c r="BA2" s="4">
        <v>0.01</v>
      </c>
      <c r="BB2" s="4" t="s">
        <v>18</v>
      </c>
      <c r="BC2" s="9">
        <v>374592</v>
      </c>
      <c r="BD2" s="9">
        <v>9959763</v>
      </c>
      <c r="BE2" s="1"/>
    </row>
    <row r="3" spans="1:57" x14ac:dyDescent="0.3">
      <c r="A3" s="1" t="s">
        <v>34</v>
      </c>
      <c r="B3" s="1" t="s">
        <v>46</v>
      </c>
      <c r="C3" s="2">
        <v>45210</v>
      </c>
      <c r="D3" s="2">
        <v>45182</v>
      </c>
      <c r="E3" s="1" t="s">
        <v>49</v>
      </c>
      <c r="F3" s="4" t="s">
        <v>90</v>
      </c>
      <c r="G3" s="1" t="s">
        <v>36</v>
      </c>
      <c r="H3" s="4" t="s">
        <v>93</v>
      </c>
      <c r="I3" s="4" t="s">
        <v>97</v>
      </c>
      <c r="J3" s="4" t="s">
        <v>100</v>
      </c>
      <c r="K3" s="4">
        <v>7</v>
      </c>
      <c r="L3" s="4" t="s">
        <v>129</v>
      </c>
      <c r="N3" s="4" t="s">
        <v>130</v>
      </c>
      <c r="AU3"/>
      <c r="AV3" s="3">
        <v>45210.4062962963</v>
      </c>
      <c r="AW3" s="3">
        <v>45211.704884259256</v>
      </c>
      <c r="AX3" s="1">
        <f t="shared" si="0"/>
        <v>31.166111110942438</v>
      </c>
      <c r="AY3" s="1">
        <v>10</v>
      </c>
      <c r="AZ3" s="4">
        <v>5.0000000000000001E-3</v>
      </c>
      <c r="BA3" s="4">
        <v>0.01</v>
      </c>
      <c r="BB3" s="4" t="s">
        <v>18</v>
      </c>
      <c r="BC3" s="9">
        <v>374592</v>
      </c>
      <c r="BD3" s="9">
        <v>9959763</v>
      </c>
      <c r="BE3" s="1"/>
    </row>
    <row r="4" spans="1:57" x14ac:dyDescent="0.3">
      <c r="A4" s="1" t="s">
        <v>34</v>
      </c>
      <c r="B4" s="1" t="s">
        <v>46</v>
      </c>
      <c r="C4" s="2">
        <v>45215</v>
      </c>
      <c r="D4" s="2">
        <v>45217</v>
      </c>
      <c r="E4" s="1" t="s">
        <v>47</v>
      </c>
      <c r="F4" s="4" t="s">
        <v>90</v>
      </c>
      <c r="G4" s="1" t="s">
        <v>19</v>
      </c>
      <c r="H4" s="4" t="s">
        <v>93</v>
      </c>
      <c r="I4" s="4" t="s">
        <v>97</v>
      </c>
      <c r="J4" s="4" t="s">
        <v>100</v>
      </c>
      <c r="K4" s="4">
        <v>2</v>
      </c>
      <c r="L4" s="4" t="s">
        <v>129</v>
      </c>
      <c r="AG4"/>
      <c r="AJ4"/>
      <c r="AQ4"/>
      <c r="AS4"/>
      <c r="AV4" s="3">
        <v>45215.429189814815</v>
      </c>
      <c r="AW4" s="3">
        <v>45216.665312500001</v>
      </c>
      <c r="AX4" s="1">
        <f t="shared" si="0"/>
        <v>29.666944444470573</v>
      </c>
      <c r="AY4" s="1">
        <v>10</v>
      </c>
      <c r="AZ4" s="4">
        <v>5.0000000000000001E-3</v>
      </c>
      <c r="BA4" s="4">
        <v>0.01</v>
      </c>
      <c r="BB4" s="4" t="s">
        <v>18</v>
      </c>
      <c r="BC4" s="9">
        <v>374592</v>
      </c>
      <c r="BD4" s="9">
        <v>9959763</v>
      </c>
      <c r="BE4" s="1"/>
    </row>
    <row r="5" spans="1:57" x14ac:dyDescent="0.3">
      <c r="A5" s="1" t="s">
        <v>34</v>
      </c>
      <c r="B5" s="1" t="s">
        <v>46</v>
      </c>
      <c r="C5" s="2">
        <v>45215</v>
      </c>
      <c r="D5" s="2">
        <v>45217</v>
      </c>
      <c r="E5" s="1" t="s">
        <v>49</v>
      </c>
      <c r="F5" s="4" t="s">
        <v>90</v>
      </c>
      <c r="G5" s="1" t="s">
        <v>36</v>
      </c>
      <c r="H5" s="4" t="s">
        <v>93</v>
      </c>
      <c r="I5" s="4" t="s">
        <v>97</v>
      </c>
      <c r="J5" s="4" t="s">
        <v>100</v>
      </c>
      <c r="L5" s="4" t="s">
        <v>129</v>
      </c>
      <c r="AQ5"/>
      <c r="AV5" s="3">
        <v>45215.428969907407</v>
      </c>
      <c r="AW5" s="3">
        <v>45216.741446759261</v>
      </c>
      <c r="AX5" s="1">
        <f t="shared" si="0"/>
        <v>31.4994444444892</v>
      </c>
      <c r="AY5" s="1">
        <v>10</v>
      </c>
      <c r="AZ5" s="4">
        <v>5.0000000000000001E-3</v>
      </c>
      <c r="BA5" s="4">
        <v>0.01</v>
      </c>
      <c r="BB5" s="4" t="s">
        <v>18</v>
      </c>
      <c r="BC5" s="9">
        <v>374592</v>
      </c>
      <c r="BD5" s="9">
        <v>9959763</v>
      </c>
      <c r="BE5" s="1"/>
    </row>
    <row r="6" spans="1:57" x14ac:dyDescent="0.3">
      <c r="A6" s="1" t="s">
        <v>34</v>
      </c>
      <c r="B6" s="1" t="s">
        <v>46</v>
      </c>
      <c r="C6" s="5">
        <v>45222</v>
      </c>
      <c r="D6" s="5">
        <v>45224</v>
      </c>
      <c r="E6" s="6" t="s">
        <v>47</v>
      </c>
      <c r="F6" s="4" t="s">
        <v>90</v>
      </c>
      <c r="G6" s="6" t="s">
        <v>19</v>
      </c>
      <c r="H6" s="4" t="s">
        <v>93</v>
      </c>
      <c r="I6" s="4" t="s">
        <v>97</v>
      </c>
      <c r="J6" s="4" t="s">
        <v>100</v>
      </c>
      <c r="K6" s="4">
        <v>2</v>
      </c>
      <c r="L6" s="4" t="s">
        <v>129</v>
      </c>
      <c r="AV6" s="7">
        <v>45222.421354166669</v>
      </c>
      <c r="AW6" s="7">
        <v>45223.442199074074</v>
      </c>
      <c r="AX6" s="6">
        <f t="shared" si="0"/>
        <v>24.500277777726296</v>
      </c>
      <c r="AY6" s="6">
        <v>10</v>
      </c>
      <c r="AZ6" s="4">
        <v>5.0000000000000001E-3</v>
      </c>
      <c r="BA6" s="4">
        <v>0.01</v>
      </c>
      <c r="BB6" s="4" t="s">
        <v>18</v>
      </c>
      <c r="BC6" s="9">
        <v>374592</v>
      </c>
      <c r="BD6" s="9">
        <v>9959763</v>
      </c>
      <c r="BE6" s="6" t="s">
        <v>48</v>
      </c>
    </row>
    <row r="7" spans="1:57" x14ac:dyDescent="0.3">
      <c r="A7" s="1" t="s">
        <v>34</v>
      </c>
      <c r="B7" s="1" t="s">
        <v>46</v>
      </c>
      <c r="C7" s="11">
        <v>45222</v>
      </c>
      <c r="D7" s="11">
        <v>45224</v>
      </c>
      <c r="E7" s="4" t="s">
        <v>49</v>
      </c>
      <c r="F7" s="4" t="s">
        <v>90</v>
      </c>
      <c r="G7" s="4" t="s">
        <v>36</v>
      </c>
      <c r="H7" s="4" t="s">
        <v>93</v>
      </c>
      <c r="I7" s="4" t="s">
        <v>97</v>
      </c>
      <c r="J7" s="4" t="s">
        <v>100</v>
      </c>
      <c r="L7" s="4" t="s">
        <v>129</v>
      </c>
      <c r="AI7"/>
      <c r="AJ7"/>
      <c r="AK7"/>
      <c r="AL7"/>
      <c r="AM7"/>
      <c r="AN7"/>
      <c r="AO7"/>
      <c r="AR7"/>
      <c r="AS7"/>
      <c r="AT7"/>
      <c r="AV7" s="3">
        <v>45222.420266203706</v>
      </c>
      <c r="AW7" s="3">
        <v>45222.593854166669</v>
      </c>
      <c r="AX7" s="4">
        <f t="shared" si="0"/>
        <v>4.1661111111170612</v>
      </c>
      <c r="AY7" s="4">
        <v>10</v>
      </c>
      <c r="AZ7" s="4">
        <v>5.0000000000000001E-3</v>
      </c>
      <c r="BA7" s="4">
        <v>0.01</v>
      </c>
      <c r="BB7" s="4" t="s">
        <v>18</v>
      </c>
      <c r="BC7" s="9">
        <v>374592</v>
      </c>
      <c r="BD7" s="9">
        <v>9959763</v>
      </c>
      <c r="BE7" s="1"/>
    </row>
    <row r="8" spans="1:57" x14ac:dyDescent="0.3">
      <c r="A8" s="1" t="s">
        <v>34</v>
      </c>
      <c r="B8" s="1" t="s">
        <v>46</v>
      </c>
      <c r="C8" s="2">
        <v>45229</v>
      </c>
      <c r="D8" s="2">
        <v>45231</v>
      </c>
      <c r="E8" s="1" t="s">
        <v>47</v>
      </c>
      <c r="F8" s="4" t="s">
        <v>90</v>
      </c>
      <c r="G8" s="1" t="s">
        <v>19</v>
      </c>
      <c r="H8" s="4" t="s">
        <v>93</v>
      </c>
      <c r="I8" s="4" t="s">
        <v>97</v>
      </c>
      <c r="J8" s="4" t="s">
        <v>100</v>
      </c>
      <c r="K8" s="4">
        <v>2</v>
      </c>
      <c r="L8" s="4" t="s">
        <v>129</v>
      </c>
      <c r="P8"/>
      <c r="Q8"/>
      <c r="R8"/>
      <c r="S8"/>
      <c r="T8"/>
      <c r="U8"/>
      <c r="V8"/>
      <c r="W8"/>
      <c r="AB8"/>
      <c r="AC8"/>
      <c r="AD8"/>
      <c r="AF8"/>
      <c r="AG8"/>
      <c r="AH8"/>
      <c r="AI8"/>
      <c r="AJ8"/>
      <c r="AK8"/>
      <c r="AL8"/>
      <c r="AM8"/>
      <c r="AN8"/>
      <c r="AO8"/>
      <c r="AR8"/>
      <c r="AS8"/>
      <c r="AT8"/>
      <c r="AV8" s="8">
        <v>45229.447210648148</v>
      </c>
      <c r="AW8" s="8">
        <v>45230.495833333334</v>
      </c>
      <c r="AX8" s="1">
        <f t="shared" si="0"/>
        <v>25.166944444470573</v>
      </c>
      <c r="AY8" s="1">
        <v>10</v>
      </c>
      <c r="AZ8" s="4">
        <v>5.0000000000000001E-3</v>
      </c>
      <c r="BA8" s="4">
        <v>0.01</v>
      </c>
      <c r="BB8" s="4" t="s">
        <v>18</v>
      </c>
      <c r="BC8" s="9">
        <v>374592</v>
      </c>
      <c r="BD8" s="9">
        <v>9959763</v>
      </c>
      <c r="BE8" s="1"/>
    </row>
    <row r="9" spans="1:57" x14ac:dyDescent="0.3">
      <c r="A9" s="1" t="s">
        <v>34</v>
      </c>
      <c r="B9" s="1" t="s">
        <v>46</v>
      </c>
      <c r="C9" s="5">
        <v>45229</v>
      </c>
      <c r="D9" s="5">
        <v>45231</v>
      </c>
      <c r="E9" s="6" t="s">
        <v>49</v>
      </c>
      <c r="F9" s="4" t="s">
        <v>90</v>
      </c>
      <c r="G9" s="6" t="s">
        <v>36</v>
      </c>
      <c r="H9" s="4" t="s">
        <v>93</v>
      </c>
      <c r="I9" s="4" t="s">
        <v>97</v>
      </c>
      <c r="J9" s="4" t="s">
        <v>100</v>
      </c>
      <c r="L9" s="4" t="s">
        <v>129</v>
      </c>
      <c r="P9"/>
      <c r="Q9"/>
      <c r="R9"/>
      <c r="S9"/>
      <c r="T9"/>
      <c r="U9"/>
      <c r="V9"/>
      <c r="W9"/>
      <c r="AB9"/>
      <c r="AC9"/>
      <c r="AD9"/>
      <c r="AF9"/>
      <c r="AG9"/>
      <c r="AH9"/>
      <c r="AI9"/>
      <c r="AJ9"/>
      <c r="AK9"/>
      <c r="AL9"/>
      <c r="AM9"/>
      <c r="AN9"/>
      <c r="AO9"/>
      <c r="AR9"/>
      <c r="AS9"/>
      <c r="AT9"/>
      <c r="AV9" s="7">
        <v>45229.447569444441</v>
      </c>
      <c r="AW9" s="7">
        <v>45230.468402777777</v>
      </c>
      <c r="AX9" s="6">
        <f t="shared" si="0"/>
        <v>24.500000000058208</v>
      </c>
      <c r="AY9" s="6">
        <v>10</v>
      </c>
      <c r="AZ9" s="4">
        <v>5.0000000000000001E-3</v>
      </c>
      <c r="BA9" s="4">
        <v>0.01</v>
      </c>
      <c r="BB9" s="4" t="s">
        <v>18</v>
      </c>
      <c r="BC9" s="9">
        <v>374592</v>
      </c>
      <c r="BD9" s="9">
        <v>9959763</v>
      </c>
      <c r="BE9" s="1" t="s">
        <v>50</v>
      </c>
    </row>
    <row r="10" spans="1:57" x14ac:dyDescent="0.3">
      <c r="A10" s="1" t="s">
        <v>34</v>
      </c>
      <c r="B10" s="1" t="s">
        <v>46</v>
      </c>
      <c r="C10" s="2">
        <v>45236</v>
      </c>
      <c r="D10" s="2">
        <v>45238</v>
      </c>
      <c r="E10" s="1" t="s">
        <v>47</v>
      </c>
      <c r="F10" s="4" t="s">
        <v>90</v>
      </c>
      <c r="G10" s="1" t="s">
        <v>19</v>
      </c>
      <c r="H10" s="4" t="s">
        <v>93</v>
      </c>
      <c r="I10" s="4" t="s">
        <v>97</v>
      </c>
      <c r="J10" s="4" t="s">
        <v>100</v>
      </c>
      <c r="K10" s="4">
        <v>2</v>
      </c>
      <c r="L10" s="4" t="s">
        <v>129</v>
      </c>
      <c r="S10"/>
      <c r="T10"/>
      <c r="U10"/>
      <c r="V10"/>
      <c r="W10"/>
      <c r="AB10"/>
      <c r="AC10"/>
      <c r="AD10"/>
      <c r="AF10"/>
      <c r="AG10"/>
      <c r="AH10"/>
      <c r="AI10"/>
      <c r="AJ10"/>
      <c r="AK10"/>
      <c r="AL10"/>
      <c r="AM10"/>
      <c r="AN10"/>
      <c r="AO10"/>
      <c r="AR10"/>
      <c r="AS10"/>
      <c r="AT10"/>
      <c r="AV10" s="8">
        <v>45236.461840277778</v>
      </c>
      <c r="AW10" s="8">
        <v>45237.774363425924</v>
      </c>
      <c r="AX10" s="1">
        <f t="shared" si="0"/>
        <v>31.5005555555108</v>
      </c>
      <c r="AY10" s="1">
        <v>10</v>
      </c>
      <c r="AZ10" s="4">
        <v>5.0000000000000001E-3</v>
      </c>
      <c r="BA10" s="4">
        <v>0.01</v>
      </c>
      <c r="BB10" s="4" t="s">
        <v>18</v>
      </c>
      <c r="BC10" s="9">
        <v>374592</v>
      </c>
      <c r="BD10" s="9">
        <v>9959763</v>
      </c>
      <c r="BE10" s="1"/>
    </row>
    <row r="11" spans="1:57" x14ac:dyDescent="0.3">
      <c r="A11" s="1" t="s">
        <v>34</v>
      </c>
      <c r="B11" s="1" t="s">
        <v>46</v>
      </c>
      <c r="C11" s="5">
        <v>45236</v>
      </c>
      <c r="D11" s="5">
        <v>45238</v>
      </c>
      <c r="E11" s="6" t="s">
        <v>49</v>
      </c>
      <c r="F11" s="4" t="s">
        <v>90</v>
      </c>
      <c r="G11" s="6" t="s">
        <v>36</v>
      </c>
      <c r="H11" s="4" t="s">
        <v>93</v>
      </c>
      <c r="I11" s="4" t="s">
        <v>97</v>
      </c>
      <c r="J11" s="4" t="s">
        <v>100</v>
      </c>
      <c r="L11" s="4" t="s">
        <v>129</v>
      </c>
      <c r="P11"/>
      <c r="Q11"/>
      <c r="R11"/>
      <c r="S11"/>
      <c r="T11"/>
      <c r="U11"/>
      <c r="V11"/>
      <c r="W11"/>
      <c r="AB11"/>
      <c r="AC11"/>
      <c r="AD11"/>
      <c r="AI11"/>
      <c r="AJ11"/>
      <c r="AK11"/>
      <c r="AL11"/>
      <c r="AM11"/>
      <c r="AN11"/>
      <c r="AO11"/>
      <c r="AR11"/>
      <c r="AS11"/>
      <c r="AT11"/>
      <c r="AV11" s="7">
        <v>45236.467731481483</v>
      </c>
      <c r="AW11" s="7">
        <v>45237.731620370374</v>
      </c>
      <c r="AX11" s="6">
        <f t="shared" si="0"/>
        <v>30.333333333372138</v>
      </c>
      <c r="AY11" s="6">
        <v>10</v>
      </c>
      <c r="AZ11" s="4">
        <v>5.0000000000000001E-3</v>
      </c>
      <c r="BA11" s="4">
        <v>0.01</v>
      </c>
      <c r="BB11" s="4" t="s">
        <v>18</v>
      </c>
      <c r="BC11" s="9">
        <v>374592</v>
      </c>
      <c r="BD11" s="9">
        <v>9959763</v>
      </c>
      <c r="BE11" s="1" t="s">
        <v>51</v>
      </c>
    </row>
    <row r="12" spans="1:57" x14ac:dyDescent="0.3">
      <c r="A12" s="1" t="s">
        <v>34</v>
      </c>
      <c r="B12" s="1" t="s">
        <v>46</v>
      </c>
      <c r="C12" s="2">
        <v>45243</v>
      </c>
      <c r="D12" s="2">
        <v>45245</v>
      </c>
      <c r="E12" s="1" t="s">
        <v>47</v>
      </c>
      <c r="F12" s="4" t="s">
        <v>90</v>
      </c>
      <c r="G12" s="1" t="s">
        <v>19</v>
      </c>
      <c r="H12" s="4" t="s">
        <v>93</v>
      </c>
      <c r="I12" s="4" t="s">
        <v>97</v>
      </c>
      <c r="J12" s="4" t="s">
        <v>100</v>
      </c>
      <c r="K12" s="4">
        <v>2</v>
      </c>
      <c r="L12" s="4" t="s">
        <v>129</v>
      </c>
      <c r="P12"/>
      <c r="Q12"/>
      <c r="R12"/>
      <c r="S12"/>
      <c r="T12"/>
      <c r="U12"/>
      <c r="V12"/>
      <c r="W12"/>
      <c r="AB12"/>
      <c r="AC12"/>
      <c r="AD12"/>
      <c r="AE12"/>
      <c r="AV12" s="8">
        <v>45243.473217592589</v>
      </c>
      <c r="AW12" s="8">
        <v>45244.792685185188</v>
      </c>
      <c r="AX12" s="1">
        <f t="shared" si="0"/>
        <v>31.667222222371493</v>
      </c>
      <c r="AY12" s="1">
        <v>10</v>
      </c>
      <c r="AZ12" s="4">
        <v>5.0000000000000001E-3</v>
      </c>
      <c r="BA12" s="4">
        <v>0.01</v>
      </c>
      <c r="BB12" s="4" t="s">
        <v>18</v>
      </c>
      <c r="BC12" s="9">
        <v>374592</v>
      </c>
      <c r="BD12" s="9">
        <v>9959763</v>
      </c>
      <c r="BE12" s="13" t="s">
        <v>84</v>
      </c>
    </row>
    <row r="13" spans="1:57" x14ac:dyDescent="0.3">
      <c r="A13" s="1" t="s">
        <v>34</v>
      </c>
      <c r="B13" s="1" t="s">
        <v>46</v>
      </c>
      <c r="C13" s="2">
        <v>45243</v>
      </c>
      <c r="D13" s="2">
        <v>45245</v>
      </c>
      <c r="E13" s="1" t="s">
        <v>49</v>
      </c>
      <c r="F13" s="4" t="s">
        <v>90</v>
      </c>
      <c r="G13" s="1" t="s">
        <v>36</v>
      </c>
      <c r="H13" s="4" t="s">
        <v>93</v>
      </c>
      <c r="I13" s="4" t="s">
        <v>97</v>
      </c>
      <c r="J13" s="4" t="s">
        <v>100</v>
      </c>
      <c r="L13" s="4" t="s">
        <v>129</v>
      </c>
      <c r="S13"/>
      <c r="T13"/>
      <c r="U13"/>
      <c r="V13"/>
      <c r="W13"/>
      <c r="AB13"/>
      <c r="AC13"/>
      <c r="AD13"/>
      <c r="AF13"/>
      <c r="AG13"/>
      <c r="AH13"/>
      <c r="AV13" s="8">
        <v>45243.477777777778</v>
      </c>
      <c r="AW13" s="8">
        <v>45244.755532407406</v>
      </c>
      <c r="AX13" s="1">
        <f t="shared" si="0"/>
        <v>30.666111111058854</v>
      </c>
      <c r="AY13" s="1">
        <v>10</v>
      </c>
      <c r="AZ13" s="4">
        <v>5.0000000000000001E-3</v>
      </c>
      <c r="BA13" s="4">
        <v>0.01</v>
      </c>
      <c r="BB13" s="4" t="s">
        <v>18</v>
      </c>
      <c r="BC13" s="9">
        <v>374592</v>
      </c>
      <c r="BD13" s="9">
        <v>9959763</v>
      </c>
      <c r="BE13" s="1"/>
    </row>
    <row r="14" spans="1:57" x14ac:dyDescent="0.3">
      <c r="A14" s="1" t="s">
        <v>34</v>
      </c>
      <c r="B14" s="1" t="s">
        <v>46</v>
      </c>
      <c r="C14" s="2">
        <v>45250</v>
      </c>
      <c r="D14" s="2">
        <v>45252</v>
      </c>
      <c r="E14" s="1" t="s">
        <v>47</v>
      </c>
      <c r="F14" s="4" t="s">
        <v>90</v>
      </c>
      <c r="G14" s="1" t="s">
        <v>19</v>
      </c>
      <c r="H14" s="4" t="s">
        <v>93</v>
      </c>
      <c r="I14" s="4" t="s">
        <v>97</v>
      </c>
      <c r="J14" s="4" t="s">
        <v>100</v>
      </c>
      <c r="K14" s="4">
        <v>2</v>
      </c>
      <c r="L14" s="4" t="s">
        <v>129</v>
      </c>
      <c r="AE14"/>
      <c r="AP14"/>
      <c r="AV14" s="8">
        <v>45250.50267361111</v>
      </c>
      <c r="AW14" s="8">
        <v>45251.780462962961</v>
      </c>
      <c r="AX14" s="1">
        <f t="shared" si="0"/>
        <v>30.666944444412366</v>
      </c>
      <c r="AY14" s="1">
        <v>10</v>
      </c>
      <c r="AZ14" s="4">
        <v>5.0000000000000001E-3</v>
      </c>
      <c r="BA14" s="4">
        <v>0.01</v>
      </c>
      <c r="BB14" s="4" t="s">
        <v>18</v>
      </c>
      <c r="BC14" s="9">
        <v>374592</v>
      </c>
      <c r="BD14" s="9">
        <v>9959763</v>
      </c>
      <c r="BE14" s="1"/>
    </row>
    <row r="15" spans="1:57" x14ac:dyDescent="0.3">
      <c r="A15" s="1" t="s">
        <v>34</v>
      </c>
      <c r="B15" s="1" t="s">
        <v>46</v>
      </c>
      <c r="C15" s="2">
        <v>45250</v>
      </c>
      <c r="D15" s="2">
        <v>45252</v>
      </c>
      <c r="E15" s="1" t="s">
        <v>49</v>
      </c>
      <c r="F15" s="4" t="s">
        <v>90</v>
      </c>
      <c r="G15" s="1" t="s">
        <v>36</v>
      </c>
      <c r="H15" s="4" t="s">
        <v>93</v>
      </c>
      <c r="I15" s="4" t="s">
        <v>97</v>
      </c>
      <c r="J15" s="4" t="s">
        <v>100</v>
      </c>
      <c r="L15" s="4" t="s">
        <v>129</v>
      </c>
      <c r="S15"/>
      <c r="T15"/>
      <c r="U15"/>
      <c r="V15"/>
      <c r="W15"/>
      <c r="AF15"/>
      <c r="AG15"/>
      <c r="AH15"/>
      <c r="AI15"/>
      <c r="AJ15"/>
      <c r="AK15"/>
      <c r="AL15"/>
      <c r="AM15"/>
      <c r="AN15"/>
      <c r="AO15"/>
      <c r="AR15"/>
      <c r="AS15"/>
      <c r="AT15"/>
      <c r="AV15" s="8">
        <v>45250.502696759257</v>
      </c>
      <c r="AW15" s="8">
        <v>45251.73878472222</v>
      </c>
      <c r="AX15" s="1">
        <f t="shared" si="0"/>
        <v>29.666111111117061</v>
      </c>
      <c r="AY15" s="1">
        <v>10</v>
      </c>
      <c r="AZ15" s="4">
        <v>5.0000000000000001E-3</v>
      </c>
      <c r="BA15" s="4">
        <v>0.01</v>
      </c>
      <c r="BB15" s="4" t="s">
        <v>18</v>
      </c>
      <c r="BC15" s="9">
        <v>374592</v>
      </c>
      <c r="BD15" s="9">
        <v>9959763</v>
      </c>
      <c r="BE15" s="1"/>
    </row>
    <row r="16" spans="1:57" x14ac:dyDescent="0.3">
      <c r="A16" s="1" t="s">
        <v>34</v>
      </c>
      <c r="B16" s="1" t="s">
        <v>46</v>
      </c>
      <c r="C16" s="2">
        <v>45255</v>
      </c>
      <c r="D16" s="2">
        <v>45257</v>
      </c>
      <c r="E16" s="1" t="s">
        <v>47</v>
      </c>
      <c r="F16" s="4" t="s">
        <v>90</v>
      </c>
      <c r="G16" s="1" t="s">
        <v>19</v>
      </c>
      <c r="H16" s="4" t="s">
        <v>93</v>
      </c>
      <c r="I16" s="4" t="s">
        <v>97</v>
      </c>
      <c r="J16" s="4" t="s">
        <v>100</v>
      </c>
      <c r="K16" s="4">
        <v>2</v>
      </c>
      <c r="L16" s="4" t="s">
        <v>129</v>
      </c>
      <c r="AE16"/>
      <c r="AF16"/>
      <c r="AV16" s="8">
        <v>45255.437245370369</v>
      </c>
      <c r="AW16" s="8">
        <v>45256.742812500001</v>
      </c>
      <c r="AX16" s="1">
        <f t="shared" si="0"/>
        <v>31.333611111156642</v>
      </c>
      <c r="AY16" s="1">
        <v>10</v>
      </c>
      <c r="AZ16" s="4">
        <v>5.0000000000000001E-3</v>
      </c>
      <c r="BA16" s="4">
        <v>0.01</v>
      </c>
      <c r="BB16" s="4" t="s">
        <v>18</v>
      </c>
      <c r="BC16" s="9">
        <v>374592</v>
      </c>
      <c r="BD16" s="9">
        <v>9959763</v>
      </c>
      <c r="BE16" s="1"/>
    </row>
    <row r="17" spans="1:57" x14ac:dyDescent="0.3">
      <c r="A17" s="1" t="s">
        <v>34</v>
      </c>
      <c r="B17" s="1" t="s">
        <v>46</v>
      </c>
      <c r="C17" s="2">
        <v>45255</v>
      </c>
      <c r="D17" s="2">
        <v>45257</v>
      </c>
      <c r="E17" s="1" t="s">
        <v>49</v>
      </c>
      <c r="F17" s="4" t="s">
        <v>90</v>
      </c>
      <c r="G17" s="1" t="s">
        <v>36</v>
      </c>
      <c r="H17" s="4" t="s">
        <v>93</v>
      </c>
      <c r="I17" s="4" t="s">
        <v>97</v>
      </c>
      <c r="J17" s="4" t="s">
        <v>100</v>
      </c>
      <c r="L17" s="4" t="s">
        <v>129</v>
      </c>
      <c r="AE17"/>
      <c r="AV17" s="8">
        <v>45255.437592592592</v>
      </c>
      <c r="AW17" s="8">
        <v>45256.694513888891</v>
      </c>
      <c r="AX17" s="1">
        <f t="shared" si="0"/>
        <v>30.166111111175269</v>
      </c>
      <c r="AY17" s="1">
        <v>10</v>
      </c>
      <c r="AZ17" s="4">
        <v>5.0000000000000001E-3</v>
      </c>
      <c r="BA17" s="4">
        <v>0.01</v>
      </c>
      <c r="BB17" s="4" t="s">
        <v>18</v>
      </c>
      <c r="BC17" s="9">
        <v>374592</v>
      </c>
      <c r="BD17" s="9">
        <v>9959763</v>
      </c>
      <c r="BE17" s="1"/>
    </row>
    <row r="18" spans="1:57" x14ac:dyDescent="0.3">
      <c r="A18" s="1" t="s">
        <v>34</v>
      </c>
      <c r="B18" s="1" t="s">
        <v>35</v>
      </c>
      <c r="C18" s="2">
        <v>45255</v>
      </c>
      <c r="D18" s="2">
        <v>45257</v>
      </c>
      <c r="E18" s="1" t="s">
        <v>33</v>
      </c>
      <c r="F18" s="4" t="s">
        <v>90</v>
      </c>
      <c r="G18" s="1" t="s">
        <v>36</v>
      </c>
      <c r="H18" s="4" t="s">
        <v>93</v>
      </c>
      <c r="I18" s="4" t="s">
        <v>97</v>
      </c>
      <c r="J18" s="4" t="s">
        <v>100</v>
      </c>
      <c r="L18" s="4" t="s">
        <v>129</v>
      </c>
      <c r="AE18"/>
      <c r="AV18" s="8">
        <v>45255.453229166669</v>
      </c>
      <c r="AW18" s="8">
        <v>45257.022685185184</v>
      </c>
      <c r="AX18" s="1">
        <f t="shared" si="0"/>
        <v>37.666944444354158</v>
      </c>
      <c r="AY18" s="1">
        <v>10</v>
      </c>
      <c r="AZ18" s="4">
        <v>5.0000000000000001E-3</v>
      </c>
      <c r="BA18" s="4">
        <v>0.01</v>
      </c>
      <c r="BB18" s="4" t="s">
        <v>18</v>
      </c>
      <c r="BC18" s="9">
        <v>374591</v>
      </c>
      <c r="BD18" s="9">
        <v>9959822</v>
      </c>
      <c r="BE18" s="1"/>
    </row>
    <row r="19" spans="1:57" x14ac:dyDescent="0.3">
      <c r="A19" s="1" t="s">
        <v>23</v>
      </c>
      <c r="B19" s="1" t="s">
        <v>52</v>
      </c>
      <c r="C19" s="2">
        <v>45208</v>
      </c>
      <c r="D19" s="2">
        <v>45180</v>
      </c>
      <c r="E19" s="1" t="s">
        <v>53</v>
      </c>
      <c r="F19" s="4" t="s">
        <v>90</v>
      </c>
      <c r="G19" s="1" t="s">
        <v>19</v>
      </c>
      <c r="H19" s="4" t="s">
        <v>94</v>
      </c>
      <c r="I19" s="4" t="s">
        <v>97</v>
      </c>
      <c r="J19" s="4" t="s">
        <v>100</v>
      </c>
      <c r="K19" s="4">
        <v>0</v>
      </c>
      <c r="L19" s="4" t="s">
        <v>108</v>
      </c>
      <c r="AV19" s="3">
        <v>45208.478182870371</v>
      </c>
      <c r="AW19" s="3">
        <v>45209.742094907408</v>
      </c>
      <c r="AX19" s="1">
        <f t="shared" si="0"/>
        <v>30.333888888882939</v>
      </c>
      <c r="AY19" s="1">
        <v>100</v>
      </c>
      <c r="AZ19" s="4">
        <v>0.02</v>
      </c>
      <c r="BA19" s="4" t="s">
        <v>54</v>
      </c>
      <c r="BB19" s="4" t="s">
        <v>18</v>
      </c>
      <c r="BC19" s="9">
        <v>373860</v>
      </c>
      <c r="BD19" s="9">
        <v>9959143</v>
      </c>
      <c r="BE19" s="1" t="s">
        <v>55</v>
      </c>
    </row>
    <row r="20" spans="1:57" x14ac:dyDescent="0.3">
      <c r="A20" s="1" t="s">
        <v>23</v>
      </c>
      <c r="B20" s="1" t="s">
        <v>70</v>
      </c>
      <c r="C20" s="2">
        <v>45250</v>
      </c>
      <c r="D20" s="2">
        <v>45252</v>
      </c>
      <c r="E20" s="1" t="s">
        <v>66</v>
      </c>
      <c r="F20" s="1" t="s">
        <v>91</v>
      </c>
      <c r="G20" s="1" t="s">
        <v>26</v>
      </c>
      <c r="H20" s="1" t="s">
        <v>95</v>
      </c>
      <c r="I20" s="4" t="s">
        <v>99</v>
      </c>
      <c r="J20" s="4" t="s">
        <v>102</v>
      </c>
      <c r="AV20" s="8">
        <v>45250.429039351853</v>
      </c>
      <c r="AW20" s="8">
        <v>45251.748460648145</v>
      </c>
      <c r="AX20" s="1">
        <f t="shared" si="0"/>
        <v>31.666111111000646</v>
      </c>
      <c r="AY20" s="1">
        <v>100</v>
      </c>
      <c r="AZ20" s="4">
        <v>0.02</v>
      </c>
      <c r="BA20" s="4">
        <v>0.02</v>
      </c>
      <c r="BB20" s="4" t="s">
        <v>18</v>
      </c>
      <c r="BC20" s="4">
        <v>376986.5</v>
      </c>
      <c r="BD20" s="4">
        <v>9962358</v>
      </c>
      <c r="BE20" s="1" t="s">
        <v>71</v>
      </c>
    </row>
    <row r="21" spans="1:57" x14ac:dyDescent="0.3">
      <c r="A21" s="1" t="s">
        <v>23</v>
      </c>
      <c r="B21" s="1" t="s">
        <v>78</v>
      </c>
      <c r="C21" s="2">
        <v>45250</v>
      </c>
      <c r="D21" s="2">
        <v>45252</v>
      </c>
      <c r="E21" s="1" t="s">
        <v>72</v>
      </c>
      <c r="F21" s="4" t="s">
        <v>90</v>
      </c>
      <c r="G21" s="1" t="s">
        <v>19</v>
      </c>
      <c r="H21" s="4" t="s">
        <v>94</v>
      </c>
      <c r="I21" s="4" t="s">
        <v>97</v>
      </c>
      <c r="J21" s="4" t="s">
        <v>100</v>
      </c>
      <c r="AV21" s="8">
        <v>45250.450497685182</v>
      </c>
      <c r="AW21" s="8">
        <v>45251.9921412037</v>
      </c>
      <c r="AX21" s="1">
        <f t="shared" si="0"/>
        <v>36.999444444430992</v>
      </c>
      <c r="AY21" s="1">
        <v>100</v>
      </c>
      <c r="AZ21" s="4">
        <v>0.02</v>
      </c>
      <c r="BA21" s="4">
        <v>0.02</v>
      </c>
      <c r="BB21" s="4" t="s">
        <v>18</v>
      </c>
      <c r="BC21" s="9">
        <v>380078</v>
      </c>
      <c r="BD21" s="9">
        <v>9958544</v>
      </c>
      <c r="BE21" s="1"/>
    </row>
    <row r="22" spans="1:57" x14ac:dyDescent="0.3">
      <c r="A22" s="1" t="s">
        <v>23</v>
      </c>
      <c r="B22" s="1" t="s">
        <v>24</v>
      </c>
      <c r="C22" s="2">
        <v>45250</v>
      </c>
      <c r="D22" s="2">
        <v>45252</v>
      </c>
      <c r="E22" s="1" t="s">
        <v>25</v>
      </c>
      <c r="F22" s="1" t="s">
        <v>91</v>
      </c>
      <c r="G22" s="1" t="s">
        <v>26</v>
      </c>
      <c r="H22" s="1" t="s">
        <v>95</v>
      </c>
      <c r="I22" s="4" t="s">
        <v>99</v>
      </c>
      <c r="J22" s="4" t="s">
        <v>102</v>
      </c>
      <c r="AV22" s="8">
        <v>45250.460925925923</v>
      </c>
      <c r="AW22" s="8">
        <v>45251.752581018518</v>
      </c>
      <c r="AX22" s="1">
        <f t="shared" si="0"/>
        <v>30.999722222273704</v>
      </c>
      <c r="AY22" s="1">
        <v>100</v>
      </c>
      <c r="AZ22" s="4" t="s">
        <v>27</v>
      </c>
      <c r="BA22" s="4" t="s">
        <v>27</v>
      </c>
      <c r="BB22" s="4" t="s">
        <v>18</v>
      </c>
      <c r="BC22" s="9">
        <v>380002.5</v>
      </c>
      <c r="BD22" s="9">
        <v>9958606</v>
      </c>
      <c r="BE22" s="1" t="s">
        <v>83</v>
      </c>
    </row>
    <row r="23" spans="1:57" x14ac:dyDescent="0.3">
      <c r="A23" s="1" t="s">
        <v>23</v>
      </c>
      <c r="B23" s="1" t="s">
        <v>32</v>
      </c>
      <c r="C23" s="2">
        <v>45250</v>
      </c>
      <c r="D23" s="2">
        <v>45252</v>
      </c>
      <c r="E23" s="1" t="s">
        <v>33</v>
      </c>
      <c r="F23" s="4" t="s">
        <v>90</v>
      </c>
      <c r="G23" s="1" t="s">
        <v>19</v>
      </c>
      <c r="H23" s="4" t="s">
        <v>94</v>
      </c>
      <c r="I23" s="4" t="s">
        <v>97</v>
      </c>
      <c r="J23" s="4" t="s">
        <v>100</v>
      </c>
      <c r="AV23" s="8">
        <v>45250.477164351854</v>
      </c>
      <c r="AW23" s="8">
        <v>45252.067442129628</v>
      </c>
      <c r="AX23" s="1">
        <f t="shared" si="0"/>
        <v>38.166666666569654</v>
      </c>
      <c r="AY23" s="1">
        <v>100</v>
      </c>
      <c r="AZ23" s="4">
        <v>0.02</v>
      </c>
      <c r="BA23" s="4">
        <v>0.02</v>
      </c>
      <c r="BB23" s="4" t="s">
        <v>18</v>
      </c>
      <c r="BC23" s="9">
        <v>378278</v>
      </c>
      <c r="BD23" s="9">
        <v>9957271</v>
      </c>
      <c r="BE23" s="1"/>
    </row>
    <row r="24" spans="1:57" x14ac:dyDescent="0.3">
      <c r="A24" s="1" t="s">
        <v>23</v>
      </c>
      <c r="B24" s="1" t="s">
        <v>64</v>
      </c>
      <c r="C24" s="2">
        <v>45255</v>
      </c>
      <c r="D24" s="2">
        <v>45257</v>
      </c>
      <c r="E24" s="1" t="s">
        <v>53</v>
      </c>
      <c r="F24" s="1" t="s">
        <v>91</v>
      </c>
      <c r="G24" s="1" t="s">
        <v>26</v>
      </c>
      <c r="H24" s="1" t="s">
        <v>95</v>
      </c>
      <c r="I24" s="4" t="s">
        <v>99</v>
      </c>
      <c r="J24" s="4" t="s">
        <v>102</v>
      </c>
      <c r="AV24" s="8">
        <v>45255.393958333334</v>
      </c>
      <c r="AW24" s="8">
        <v>45256.70648148148</v>
      </c>
      <c r="AX24" s="1">
        <f t="shared" si="0"/>
        <v>31.5005555555108</v>
      </c>
      <c r="AY24" s="1">
        <v>100</v>
      </c>
      <c r="AZ24" s="4">
        <v>0.02</v>
      </c>
      <c r="BA24" s="4">
        <v>0.02</v>
      </c>
      <c r="BB24" s="4" t="s">
        <v>18</v>
      </c>
      <c r="BC24" s="9">
        <v>378529</v>
      </c>
      <c r="BD24" s="9">
        <v>9960571</v>
      </c>
      <c r="BE24" s="1" t="s">
        <v>65</v>
      </c>
    </row>
    <row r="25" spans="1:57" x14ac:dyDescent="0.3">
      <c r="A25" s="1" t="s">
        <v>23</v>
      </c>
      <c r="B25" s="1" t="s">
        <v>79</v>
      </c>
      <c r="C25" s="2">
        <v>45255</v>
      </c>
      <c r="D25" s="2">
        <v>45257</v>
      </c>
      <c r="E25" s="1" t="s">
        <v>72</v>
      </c>
      <c r="F25" s="1" t="s">
        <v>91</v>
      </c>
      <c r="G25" s="1" t="s">
        <v>26</v>
      </c>
      <c r="H25" s="1" t="s">
        <v>95</v>
      </c>
      <c r="I25" s="4" t="s">
        <v>99</v>
      </c>
      <c r="J25" s="4" t="s">
        <v>102</v>
      </c>
      <c r="AV25" s="8">
        <v>45255.410949074074</v>
      </c>
      <c r="AW25" s="8">
        <v>45256.959537037037</v>
      </c>
      <c r="AX25" s="1">
        <f t="shared" si="0"/>
        <v>37.166111111117061</v>
      </c>
      <c r="AY25" s="1">
        <v>100</v>
      </c>
      <c r="AZ25" s="4">
        <v>0.02</v>
      </c>
      <c r="BA25" s="4">
        <v>0.02</v>
      </c>
      <c r="BB25" s="4" t="s">
        <v>18</v>
      </c>
      <c r="BC25" s="9">
        <v>375916</v>
      </c>
      <c r="BD25" s="9">
        <v>9958544</v>
      </c>
      <c r="BE25" s="1" t="s">
        <v>65</v>
      </c>
    </row>
    <row r="26" spans="1:57" x14ac:dyDescent="0.3">
      <c r="A26" s="1" t="s">
        <v>23</v>
      </c>
      <c r="B26" s="1" t="s">
        <v>28</v>
      </c>
      <c r="C26" s="2">
        <v>45255</v>
      </c>
      <c r="D26" s="2">
        <v>45257</v>
      </c>
      <c r="E26" s="1" t="s">
        <v>25</v>
      </c>
      <c r="F26" s="4" t="s">
        <v>90</v>
      </c>
      <c r="G26" s="1" t="s">
        <v>19</v>
      </c>
      <c r="H26" s="4" t="s">
        <v>94</v>
      </c>
      <c r="I26" s="4" t="s">
        <v>97</v>
      </c>
      <c r="J26" s="4" t="s">
        <v>100</v>
      </c>
      <c r="AV26" s="8">
        <v>45255.487893518519</v>
      </c>
      <c r="AW26" s="8">
        <v>45256.710104166668</v>
      </c>
      <c r="AX26" s="1">
        <f t="shared" si="0"/>
        <v>29.333055555587634</v>
      </c>
      <c r="AY26" s="1">
        <v>10</v>
      </c>
      <c r="AZ26" s="4" t="s">
        <v>29</v>
      </c>
      <c r="BA26" s="4" t="s">
        <v>30</v>
      </c>
      <c r="BB26" s="4" t="s">
        <v>18</v>
      </c>
      <c r="BC26" s="9">
        <v>374826</v>
      </c>
      <c r="BD26" s="9">
        <v>9960108</v>
      </c>
      <c r="BE26" s="1" t="s">
        <v>31</v>
      </c>
    </row>
    <row r="27" spans="1:57" x14ac:dyDescent="0.3">
      <c r="A27" s="1" t="s">
        <v>23</v>
      </c>
      <c r="B27" s="1" t="s">
        <v>56</v>
      </c>
      <c r="C27" s="2">
        <v>45215</v>
      </c>
      <c r="D27" s="2">
        <v>45217</v>
      </c>
      <c r="E27" s="1" t="s">
        <v>53</v>
      </c>
      <c r="F27" s="4" t="s">
        <v>90</v>
      </c>
      <c r="G27" s="1" t="s">
        <v>19</v>
      </c>
      <c r="H27" s="4" t="s">
        <v>94</v>
      </c>
      <c r="I27" s="4" t="s">
        <v>97</v>
      </c>
      <c r="J27" s="4" t="s">
        <v>100</v>
      </c>
      <c r="K27" s="4">
        <v>7</v>
      </c>
      <c r="L27" s="4" t="s">
        <v>132</v>
      </c>
      <c r="N27" s="4" t="s">
        <v>130</v>
      </c>
      <c r="AV27" s="3">
        <v>45215.400196759256</v>
      </c>
      <c r="AW27" s="3">
        <v>45216.7266087963</v>
      </c>
      <c r="AX27" s="1">
        <f t="shared" si="0"/>
        <v>31.833888889057562</v>
      </c>
      <c r="AY27" s="1">
        <v>100</v>
      </c>
      <c r="AZ27" s="4">
        <v>0.02</v>
      </c>
      <c r="BA27" s="4" t="s">
        <v>54</v>
      </c>
      <c r="BB27" s="4" t="s">
        <v>18</v>
      </c>
      <c r="BC27" s="9">
        <v>374320</v>
      </c>
      <c r="BD27" s="9">
        <v>9957429</v>
      </c>
      <c r="BE27" s="1" t="s">
        <v>133</v>
      </c>
    </row>
    <row r="28" spans="1:57" x14ac:dyDescent="0.3">
      <c r="A28" s="1" t="s">
        <v>23</v>
      </c>
      <c r="B28" s="1" t="s">
        <v>57</v>
      </c>
      <c r="C28" s="2">
        <v>45222</v>
      </c>
      <c r="D28" s="2">
        <v>45224</v>
      </c>
      <c r="E28" s="1" t="s">
        <v>53</v>
      </c>
      <c r="F28" s="4" t="s">
        <v>90</v>
      </c>
      <c r="G28" s="1" t="s">
        <v>19</v>
      </c>
      <c r="H28" s="4" t="s">
        <v>94</v>
      </c>
      <c r="I28" s="4" t="s">
        <v>97</v>
      </c>
      <c r="J28" s="4" t="s">
        <v>100</v>
      </c>
      <c r="AV28" s="8">
        <v>45222.398206018515</v>
      </c>
      <c r="AW28" s="8">
        <v>45223.467673611114</v>
      </c>
      <c r="AX28" s="1">
        <f t="shared" si="0"/>
        <v>25.667222222371493</v>
      </c>
      <c r="AY28" s="1">
        <v>100</v>
      </c>
      <c r="AZ28" s="4">
        <v>0.02</v>
      </c>
      <c r="BA28" s="4">
        <v>0.02</v>
      </c>
      <c r="BB28" s="4" t="s">
        <v>18</v>
      </c>
      <c r="BC28" s="9">
        <v>374584</v>
      </c>
      <c r="BD28" s="9">
        <v>9959720</v>
      </c>
      <c r="BE28" s="12" t="s">
        <v>58</v>
      </c>
    </row>
    <row r="29" spans="1:57" x14ac:dyDescent="0.3">
      <c r="A29" s="1" t="s">
        <v>23</v>
      </c>
      <c r="B29" s="6" t="s">
        <v>59</v>
      </c>
      <c r="C29" s="5">
        <v>45229</v>
      </c>
      <c r="D29" s="5">
        <v>45231</v>
      </c>
      <c r="E29" s="6" t="s">
        <v>53</v>
      </c>
      <c r="F29" s="4" t="s">
        <v>90</v>
      </c>
      <c r="G29" s="6" t="s">
        <v>19</v>
      </c>
      <c r="H29" s="4" t="s">
        <v>94</v>
      </c>
      <c r="I29" s="4" t="s">
        <v>97</v>
      </c>
      <c r="J29" s="4" t="s">
        <v>100</v>
      </c>
      <c r="AV29" s="7">
        <v>45229.42701388889</v>
      </c>
      <c r="AW29" s="7">
        <v>45230.496458333335</v>
      </c>
      <c r="AX29" s="6">
        <f t="shared" si="0"/>
        <v>25.666666666686069</v>
      </c>
      <c r="AY29" s="6">
        <v>100</v>
      </c>
      <c r="AZ29" s="4">
        <v>0.02</v>
      </c>
      <c r="BA29" s="4">
        <v>0.02</v>
      </c>
      <c r="BB29" s="4" t="s">
        <v>18</v>
      </c>
      <c r="BC29" s="9">
        <v>374467</v>
      </c>
      <c r="BD29" s="9">
        <v>9959722</v>
      </c>
      <c r="BE29" s="1" t="s">
        <v>60</v>
      </c>
    </row>
    <row r="30" spans="1:57" x14ac:dyDescent="0.3">
      <c r="A30" s="1" t="s">
        <v>23</v>
      </c>
      <c r="B30" s="1" t="s">
        <v>67</v>
      </c>
      <c r="C30" s="2">
        <v>45236</v>
      </c>
      <c r="D30" s="2">
        <v>45238</v>
      </c>
      <c r="E30" s="1" t="s">
        <v>66</v>
      </c>
      <c r="F30" s="4" t="s">
        <v>90</v>
      </c>
      <c r="G30" s="1" t="s">
        <v>19</v>
      </c>
      <c r="H30" s="4" t="s">
        <v>94</v>
      </c>
      <c r="I30" s="4" t="s">
        <v>97</v>
      </c>
      <c r="J30" s="4" t="s">
        <v>100</v>
      </c>
      <c r="AV30" s="8">
        <v>45236.390798611108</v>
      </c>
      <c r="AW30" s="8">
        <v>45237.717164351852</v>
      </c>
      <c r="AX30" s="1">
        <f t="shared" si="0"/>
        <v>31.832777777861338</v>
      </c>
      <c r="AY30" s="1">
        <v>100</v>
      </c>
      <c r="AZ30" s="4">
        <v>0.02</v>
      </c>
      <c r="BA30" s="4">
        <v>0.02</v>
      </c>
      <c r="BB30" s="4" t="s">
        <v>18</v>
      </c>
      <c r="BC30" s="9">
        <v>381026</v>
      </c>
      <c r="BD30" s="9">
        <v>9962052</v>
      </c>
      <c r="BE30" s="1"/>
    </row>
    <row r="31" spans="1:57" x14ac:dyDescent="0.3">
      <c r="A31" s="1" t="s">
        <v>23</v>
      </c>
      <c r="B31" s="1" t="s">
        <v>61</v>
      </c>
      <c r="C31" s="2">
        <v>45236</v>
      </c>
      <c r="D31" s="2">
        <v>45238</v>
      </c>
      <c r="E31" s="1" t="s">
        <v>53</v>
      </c>
      <c r="F31" s="4" t="s">
        <v>90</v>
      </c>
      <c r="G31" s="1" t="s">
        <v>19</v>
      </c>
      <c r="H31" s="4" t="s">
        <v>94</v>
      </c>
      <c r="I31" s="4" t="s">
        <v>97</v>
      </c>
      <c r="J31" s="4" t="s">
        <v>100</v>
      </c>
      <c r="AV31" s="8">
        <v>45236.40483796296</v>
      </c>
      <c r="AW31" s="8">
        <v>45237.745138888888</v>
      </c>
      <c r="AX31" s="1">
        <f t="shared" si="0"/>
        <v>32.167222222255077</v>
      </c>
      <c r="AY31" s="1">
        <v>100</v>
      </c>
      <c r="AZ31" s="4">
        <v>0.02</v>
      </c>
      <c r="BA31" s="4">
        <v>0.02</v>
      </c>
      <c r="BB31" s="4" t="s">
        <v>18</v>
      </c>
      <c r="BC31" s="9">
        <v>381086</v>
      </c>
      <c r="BD31" s="9">
        <v>9962037</v>
      </c>
      <c r="BE31" s="1"/>
    </row>
    <row r="32" spans="1:57" x14ac:dyDescent="0.3">
      <c r="A32" s="1" t="s">
        <v>23</v>
      </c>
      <c r="B32" s="1" t="s">
        <v>62</v>
      </c>
      <c r="C32" s="2">
        <v>45243</v>
      </c>
      <c r="D32" s="2">
        <v>45245</v>
      </c>
      <c r="E32" s="1" t="s">
        <v>53</v>
      </c>
      <c r="F32" s="4" t="s">
        <v>90</v>
      </c>
      <c r="G32" s="1" t="s">
        <v>19</v>
      </c>
      <c r="H32" s="4" t="s">
        <v>94</v>
      </c>
      <c r="I32" s="4" t="s">
        <v>97</v>
      </c>
      <c r="J32" s="4" t="s">
        <v>100</v>
      </c>
      <c r="AV32" s="8">
        <v>45243.434733796297</v>
      </c>
      <c r="AW32" s="8">
        <v>45244.78197916667</v>
      </c>
      <c r="AX32" s="1">
        <f t="shared" si="0"/>
        <v>32.333888888941146</v>
      </c>
      <c r="AY32" s="1">
        <v>100</v>
      </c>
      <c r="AZ32" s="4">
        <v>0.02</v>
      </c>
      <c r="BA32" s="4">
        <v>0.02</v>
      </c>
      <c r="BB32" s="4" t="s">
        <v>18</v>
      </c>
      <c r="BC32" s="9">
        <v>379010</v>
      </c>
      <c r="BD32" s="9">
        <v>9962442</v>
      </c>
      <c r="BE32" s="1"/>
    </row>
    <row r="33" spans="1:57" x14ac:dyDescent="0.3">
      <c r="A33" s="1" t="s">
        <v>23</v>
      </c>
      <c r="B33" s="1" t="s">
        <v>68</v>
      </c>
      <c r="C33" s="2">
        <v>45243</v>
      </c>
      <c r="D33" s="2">
        <v>45245</v>
      </c>
      <c r="E33" s="1" t="s">
        <v>66</v>
      </c>
      <c r="F33" s="1" t="s">
        <v>91</v>
      </c>
      <c r="G33" s="1" t="s">
        <v>26</v>
      </c>
      <c r="H33" s="1" t="s">
        <v>95</v>
      </c>
      <c r="I33" s="4" t="s">
        <v>99</v>
      </c>
      <c r="J33" s="4" t="s">
        <v>102</v>
      </c>
      <c r="AV33" s="8">
        <v>45243.42224537037</v>
      </c>
      <c r="AW33" s="8">
        <v>45244.741678240738</v>
      </c>
      <c r="AX33" s="1">
        <f t="shared" si="0"/>
        <v>31.666388888843358</v>
      </c>
      <c r="AY33" s="1">
        <v>100</v>
      </c>
      <c r="AZ33" s="4">
        <v>0.02</v>
      </c>
      <c r="BA33" s="4">
        <v>0.02</v>
      </c>
      <c r="BB33" s="4" t="s">
        <v>18</v>
      </c>
      <c r="BC33" s="9">
        <v>380983</v>
      </c>
      <c r="BD33" s="9">
        <v>9961970</v>
      </c>
      <c r="BE33" s="13" t="s">
        <v>69</v>
      </c>
    </row>
    <row r="34" spans="1:57" x14ac:dyDescent="0.3">
      <c r="A34" s="1" t="s">
        <v>23</v>
      </c>
      <c r="B34" s="1" t="s">
        <v>63</v>
      </c>
      <c r="C34" s="2">
        <v>45250</v>
      </c>
      <c r="D34" s="2">
        <v>45252</v>
      </c>
      <c r="E34" s="1" t="s">
        <v>53</v>
      </c>
      <c r="F34" s="4" t="s">
        <v>90</v>
      </c>
      <c r="G34" s="1" t="s">
        <v>19</v>
      </c>
      <c r="H34" s="4" t="s">
        <v>94</v>
      </c>
      <c r="I34" s="4" t="s">
        <v>97</v>
      </c>
      <c r="J34" s="4" t="s">
        <v>100</v>
      </c>
      <c r="AV34" s="8">
        <v>45250.414780092593</v>
      </c>
      <c r="AW34" s="8">
        <v>45251.762025462966</v>
      </c>
      <c r="AX34" s="1">
        <f t="shared" ref="AX34:AX65" si="1">(AW34-AV34)*24</f>
        <v>32.333888888941146</v>
      </c>
      <c r="AY34" s="1">
        <v>100</v>
      </c>
      <c r="AZ34" s="4">
        <v>0.02</v>
      </c>
      <c r="BA34" s="4">
        <v>0.02</v>
      </c>
      <c r="BB34" s="4" t="s">
        <v>18</v>
      </c>
      <c r="BC34" s="9">
        <v>376926</v>
      </c>
      <c r="BD34" s="9">
        <v>9962491</v>
      </c>
      <c r="BE34" s="1"/>
    </row>
    <row r="35" spans="1:57" x14ac:dyDescent="0.3">
      <c r="A35" s="1" t="s">
        <v>23</v>
      </c>
      <c r="B35" s="1" t="s">
        <v>73</v>
      </c>
      <c r="C35" s="2">
        <v>45222</v>
      </c>
      <c r="D35" s="2">
        <v>45224</v>
      </c>
      <c r="E35" s="1" t="s">
        <v>72</v>
      </c>
      <c r="F35" s="4" t="s">
        <v>90</v>
      </c>
      <c r="G35" s="1" t="s">
        <v>19</v>
      </c>
      <c r="H35" s="4" t="s">
        <v>94</v>
      </c>
      <c r="I35" s="4" t="s">
        <v>97</v>
      </c>
      <c r="J35" s="4" t="s">
        <v>100</v>
      </c>
      <c r="L35" s="4" t="s">
        <v>108</v>
      </c>
      <c r="AV35" s="3">
        <v>45222.367615740739</v>
      </c>
      <c r="AW35" s="3">
        <v>45223.228715277779</v>
      </c>
      <c r="AX35" s="1">
        <f t="shared" si="1"/>
        <v>20.666388888959773</v>
      </c>
      <c r="AY35" s="1">
        <v>100</v>
      </c>
      <c r="AZ35" s="4" t="s">
        <v>74</v>
      </c>
      <c r="BA35" s="4" t="s">
        <v>74</v>
      </c>
      <c r="BB35" s="4" t="s">
        <v>18</v>
      </c>
      <c r="BC35" s="9">
        <v>374619</v>
      </c>
      <c r="BD35" s="9">
        <v>9959621</v>
      </c>
      <c r="BE35" s="1"/>
    </row>
    <row r="36" spans="1:57" x14ac:dyDescent="0.3">
      <c r="A36" s="1" t="s">
        <v>23</v>
      </c>
      <c r="B36" s="1" t="s">
        <v>75</v>
      </c>
      <c r="C36" s="2">
        <v>45229</v>
      </c>
      <c r="D36" s="2">
        <v>45231</v>
      </c>
      <c r="E36" s="1" t="s">
        <v>72</v>
      </c>
      <c r="F36" s="1" t="s">
        <v>91</v>
      </c>
      <c r="G36" s="1" t="s">
        <v>26</v>
      </c>
      <c r="H36" s="1" t="s">
        <v>95</v>
      </c>
      <c r="I36" s="4" t="s">
        <v>99</v>
      </c>
      <c r="J36" s="4" t="s">
        <v>102</v>
      </c>
      <c r="AV36" s="8">
        <v>45229.393912037034</v>
      </c>
      <c r="AW36" s="8">
        <v>45230.664733796293</v>
      </c>
      <c r="AX36" s="1">
        <f t="shared" si="1"/>
        <v>30.499722222215496</v>
      </c>
      <c r="AY36" s="1">
        <v>100</v>
      </c>
      <c r="AZ36" s="4">
        <v>0.02</v>
      </c>
      <c r="BA36" s="4">
        <v>0.02</v>
      </c>
      <c r="BB36" s="4" t="s">
        <v>18</v>
      </c>
      <c r="BC36" s="9">
        <v>374705</v>
      </c>
      <c r="BD36" s="9">
        <v>9959456</v>
      </c>
      <c r="BE36" s="1"/>
    </row>
    <row r="37" spans="1:57" x14ac:dyDescent="0.3">
      <c r="A37" s="1" t="s">
        <v>23</v>
      </c>
      <c r="B37" s="1" t="s">
        <v>76</v>
      </c>
      <c r="C37" s="2">
        <v>45236</v>
      </c>
      <c r="D37" s="2">
        <v>45238</v>
      </c>
      <c r="E37" s="1" t="s">
        <v>72</v>
      </c>
      <c r="F37" s="1" t="s">
        <v>91</v>
      </c>
      <c r="G37" s="1" t="s">
        <v>26</v>
      </c>
      <c r="H37" s="1" t="s">
        <v>95</v>
      </c>
      <c r="I37" s="4" t="s">
        <v>99</v>
      </c>
      <c r="J37" s="4" t="s">
        <v>102</v>
      </c>
      <c r="AV37" s="8">
        <v>45236.4530787037</v>
      </c>
      <c r="AW37" s="8">
        <v>45237.966944444444</v>
      </c>
      <c r="AX37" s="1">
        <f t="shared" si="1"/>
        <v>36.332777777861338</v>
      </c>
      <c r="AY37" s="1">
        <v>100</v>
      </c>
      <c r="AZ37" s="4">
        <v>0.02</v>
      </c>
      <c r="BA37" s="4">
        <v>0.02</v>
      </c>
      <c r="BB37" s="4" t="s">
        <v>18</v>
      </c>
      <c r="BC37" s="4">
        <v>374819.5</v>
      </c>
      <c r="BD37" s="4">
        <v>9959335</v>
      </c>
      <c r="BE37" s="1"/>
    </row>
    <row r="38" spans="1:57" x14ac:dyDescent="0.3">
      <c r="A38" s="1" t="s">
        <v>23</v>
      </c>
      <c r="B38" s="1" t="s">
        <v>77</v>
      </c>
      <c r="C38" s="2">
        <v>45243</v>
      </c>
      <c r="D38" s="2">
        <v>45245</v>
      </c>
      <c r="E38" s="1" t="s">
        <v>72</v>
      </c>
      <c r="F38" s="1" t="s">
        <v>91</v>
      </c>
      <c r="G38" s="1" t="s">
        <v>26</v>
      </c>
      <c r="H38" s="1" t="s">
        <v>95</v>
      </c>
      <c r="I38" s="4" t="s">
        <v>99</v>
      </c>
      <c r="J38" s="4" t="s">
        <v>102</v>
      </c>
      <c r="AV38" s="8">
        <v>45243.458460648151</v>
      </c>
      <c r="AW38" s="8">
        <v>45245.000115740739</v>
      </c>
      <c r="AX38" s="1">
        <f t="shared" si="1"/>
        <v>36.999722222099081</v>
      </c>
      <c r="AY38" s="1">
        <v>100</v>
      </c>
      <c r="AZ38" s="4">
        <v>0.02</v>
      </c>
      <c r="BA38" s="4">
        <v>0.02</v>
      </c>
      <c r="BB38" s="4" t="s">
        <v>18</v>
      </c>
      <c r="BC38" s="4">
        <v>374886</v>
      </c>
      <c r="BD38" s="4">
        <v>9959269</v>
      </c>
      <c r="BE38" s="1"/>
    </row>
    <row r="39" spans="1:57" x14ac:dyDescent="0.3">
      <c r="A39" s="1" t="s">
        <v>12</v>
      </c>
      <c r="B39" s="1" t="s">
        <v>13</v>
      </c>
      <c r="C39" s="2">
        <v>45217</v>
      </c>
      <c r="D39" s="2">
        <v>45219</v>
      </c>
      <c r="E39" s="1" t="s">
        <v>40</v>
      </c>
      <c r="F39" s="4" t="s">
        <v>90</v>
      </c>
      <c r="G39" s="1" t="s">
        <v>19</v>
      </c>
      <c r="H39" s="1" t="s">
        <v>38</v>
      </c>
      <c r="I39" s="4" t="s">
        <v>98</v>
      </c>
      <c r="J39" s="4" t="s">
        <v>100</v>
      </c>
      <c r="L39" s="4" t="s">
        <v>131</v>
      </c>
      <c r="AV39" s="3">
        <v>45217.540046296293</v>
      </c>
      <c r="AW39" s="3">
        <v>45218.810856481483</v>
      </c>
      <c r="AX39" s="1">
        <f t="shared" si="1"/>
        <v>30.499444444547407</v>
      </c>
      <c r="AY39" s="1">
        <v>10</v>
      </c>
      <c r="AZ39" s="4">
        <v>5.0000000000000001E-3</v>
      </c>
      <c r="BA39" s="4">
        <v>0.01</v>
      </c>
      <c r="BB39" s="4" t="s">
        <v>18</v>
      </c>
      <c r="BC39" s="9">
        <v>382794</v>
      </c>
      <c r="BD39" s="9">
        <v>9964774</v>
      </c>
      <c r="BE39" s="1"/>
    </row>
    <row r="40" spans="1:57" x14ac:dyDescent="0.3">
      <c r="A40" s="1" t="s">
        <v>12</v>
      </c>
      <c r="B40" s="1" t="s">
        <v>13</v>
      </c>
      <c r="C40" s="2">
        <v>45217</v>
      </c>
      <c r="D40" s="2">
        <v>45219</v>
      </c>
      <c r="E40" s="1" t="s">
        <v>43</v>
      </c>
      <c r="F40" s="4" t="s">
        <v>90</v>
      </c>
      <c r="G40" s="1" t="s">
        <v>19</v>
      </c>
      <c r="H40" s="1" t="s">
        <v>17</v>
      </c>
      <c r="I40" s="4" t="s">
        <v>98</v>
      </c>
      <c r="J40" s="4" t="s">
        <v>100</v>
      </c>
      <c r="L40" s="4" t="s">
        <v>131</v>
      </c>
      <c r="AV40" s="3">
        <v>45217.540162037039</v>
      </c>
      <c r="AW40" s="3">
        <v>45218.852685185186</v>
      </c>
      <c r="AX40" s="1">
        <f t="shared" si="1"/>
        <v>31.5005555555108</v>
      </c>
      <c r="AY40" s="1">
        <v>10</v>
      </c>
      <c r="AZ40" s="4">
        <v>5.0000000000000001E-3</v>
      </c>
      <c r="BA40" s="4">
        <v>0.01</v>
      </c>
      <c r="BB40" s="4" t="s">
        <v>18</v>
      </c>
      <c r="BC40" s="9">
        <v>382794</v>
      </c>
      <c r="BD40" s="9">
        <v>9964774</v>
      </c>
      <c r="BE40" s="1"/>
    </row>
    <row r="41" spans="1:57" x14ac:dyDescent="0.3">
      <c r="A41" s="1" t="s">
        <v>12</v>
      </c>
      <c r="B41" s="1" t="s">
        <v>13</v>
      </c>
      <c r="C41" s="2">
        <v>45224</v>
      </c>
      <c r="D41" s="2">
        <v>45226</v>
      </c>
      <c r="E41" s="1" t="s">
        <v>40</v>
      </c>
      <c r="F41" s="4" t="s">
        <v>90</v>
      </c>
      <c r="G41" s="1" t="s">
        <v>19</v>
      </c>
      <c r="H41" s="1" t="s">
        <v>38</v>
      </c>
      <c r="I41" s="4" t="s">
        <v>98</v>
      </c>
      <c r="J41" s="4" t="s">
        <v>100</v>
      </c>
      <c r="L41" s="4" t="s">
        <v>131</v>
      </c>
      <c r="AV41" s="8">
        <v>45224.524004629631</v>
      </c>
      <c r="AW41" s="8">
        <v>45225.565659722219</v>
      </c>
      <c r="AX41" s="1">
        <f t="shared" si="1"/>
        <v>24.999722222099081</v>
      </c>
      <c r="AY41" s="1">
        <v>10</v>
      </c>
      <c r="AZ41" s="4">
        <v>5.0000000000000001E-3</v>
      </c>
      <c r="BA41" s="4">
        <v>0.01</v>
      </c>
      <c r="BB41" s="4" t="s">
        <v>18</v>
      </c>
      <c r="BC41" s="9">
        <v>382794</v>
      </c>
      <c r="BD41" s="9">
        <v>9964774</v>
      </c>
      <c r="BE41" s="1"/>
    </row>
    <row r="42" spans="1:57" x14ac:dyDescent="0.3">
      <c r="A42" s="1" t="s">
        <v>12</v>
      </c>
      <c r="B42" s="1" t="s">
        <v>13</v>
      </c>
      <c r="C42" s="2">
        <v>45224</v>
      </c>
      <c r="D42" s="2">
        <v>45226</v>
      </c>
      <c r="E42" s="1" t="s">
        <v>43</v>
      </c>
      <c r="F42" s="4" t="s">
        <v>90</v>
      </c>
      <c r="G42" s="1" t="s">
        <v>19</v>
      </c>
      <c r="H42" s="1" t="s">
        <v>17</v>
      </c>
      <c r="I42" s="4" t="s">
        <v>98</v>
      </c>
      <c r="J42" s="4" t="s">
        <v>100</v>
      </c>
      <c r="L42" s="4" t="s">
        <v>131</v>
      </c>
      <c r="AV42" s="8">
        <v>45224.521956018521</v>
      </c>
      <c r="AW42" s="8">
        <v>45225.549722222226</v>
      </c>
      <c r="AX42" s="1">
        <f t="shared" si="1"/>
        <v>24.666388888901565</v>
      </c>
      <c r="AY42" s="1">
        <v>10</v>
      </c>
      <c r="AZ42" s="4">
        <v>5.0000000000000001E-3</v>
      </c>
      <c r="BA42" s="4">
        <v>0.01</v>
      </c>
      <c r="BB42" s="4" t="s">
        <v>18</v>
      </c>
      <c r="BC42" s="9">
        <v>382794</v>
      </c>
      <c r="BD42" s="9">
        <v>9964774</v>
      </c>
      <c r="BE42" s="1"/>
    </row>
    <row r="43" spans="1:57" x14ac:dyDescent="0.3">
      <c r="A43" s="1" t="s">
        <v>12</v>
      </c>
      <c r="B43" s="1" t="s">
        <v>13</v>
      </c>
      <c r="C43" s="2">
        <v>45231</v>
      </c>
      <c r="D43" s="2">
        <v>45233</v>
      </c>
      <c r="E43" s="1" t="s">
        <v>40</v>
      </c>
      <c r="F43" s="4" t="s">
        <v>90</v>
      </c>
      <c r="G43" s="1" t="s">
        <v>19</v>
      </c>
      <c r="H43" s="1" t="s">
        <v>38</v>
      </c>
      <c r="I43" s="4" t="s">
        <v>98</v>
      </c>
      <c r="J43" s="4" t="s">
        <v>100</v>
      </c>
      <c r="L43" s="4" t="s">
        <v>131</v>
      </c>
      <c r="AV43" s="8">
        <v>45231.509120370371</v>
      </c>
      <c r="AW43" s="8">
        <v>45232.578553240739</v>
      </c>
      <c r="AX43" s="1">
        <f t="shared" si="1"/>
        <v>25.666388888843358</v>
      </c>
      <c r="AY43" s="1">
        <v>10</v>
      </c>
      <c r="AZ43" s="4">
        <v>5.0000000000000001E-3</v>
      </c>
      <c r="BA43" s="4">
        <v>0.01</v>
      </c>
      <c r="BB43" s="4" t="s">
        <v>18</v>
      </c>
      <c r="BC43" s="9">
        <v>382794</v>
      </c>
      <c r="BD43" s="9">
        <v>9964774</v>
      </c>
      <c r="BE43" s="1"/>
    </row>
    <row r="44" spans="1:57" x14ac:dyDescent="0.3">
      <c r="A44" s="1" t="s">
        <v>12</v>
      </c>
      <c r="B44" s="6" t="s">
        <v>13</v>
      </c>
      <c r="C44" s="5">
        <v>45231</v>
      </c>
      <c r="D44" s="5">
        <v>45233</v>
      </c>
      <c r="E44" s="6" t="s">
        <v>43</v>
      </c>
      <c r="F44" s="4" t="s">
        <v>90</v>
      </c>
      <c r="G44" s="1" t="s">
        <v>19</v>
      </c>
      <c r="H44" s="6" t="s">
        <v>17</v>
      </c>
      <c r="I44" s="4" t="s">
        <v>98</v>
      </c>
      <c r="J44" s="4" t="s">
        <v>100</v>
      </c>
      <c r="L44" s="4" t="s">
        <v>131</v>
      </c>
      <c r="AV44" s="7">
        <v>45231.509016203701</v>
      </c>
      <c r="AW44" s="7">
        <v>45232.542997685188</v>
      </c>
      <c r="AX44" s="6">
        <f t="shared" si="1"/>
        <v>24.815555555687752</v>
      </c>
      <c r="AY44" s="6">
        <v>10</v>
      </c>
      <c r="AZ44" s="4">
        <v>5.0000000000000001E-3</v>
      </c>
      <c r="BA44" s="4">
        <v>0.01</v>
      </c>
      <c r="BB44" s="4" t="s">
        <v>18</v>
      </c>
      <c r="BC44" s="9">
        <v>382794</v>
      </c>
      <c r="BD44" s="9">
        <v>9964774</v>
      </c>
      <c r="BE44" s="1" t="s">
        <v>44</v>
      </c>
    </row>
    <row r="45" spans="1:57" x14ac:dyDescent="0.3">
      <c r="A45" s="1" t="s">
        <v>12</v>
      </c>
      <c r="B45" s="1" t="s">
        <v>13</v>
      </c>
      <c r="C45" s="2">
        <v>45238</v>
      </c>
      <c r="D45" s="2">
        <v>45240</v>
      </c>
      <c r="E45" s="1" t="s">
        <v>40</v>
      </c>
      <c r="F45" s="4" t="s">
        <v>90</v>
      </c>
      <c r="G45" s="1" t="s">
        <v>19</v>
      </c>
      <c r="H45" s="1" t="s">
        <v>38</v>
      </c>
      <c r="I45" s="4" t="s">
        <v>98</v>
      </c>
      <c r="J45" s="4" t="s">
        <v>100</v>
      </c>
      <c r="L45" s="4" t="s">
        <v>131</v>
      </c>
      <c r="AV45" s="8">
        <v>45238.506041666667</v>
      </c>
      <c r="AW45" s="8">
        <v>45239.860196759262</v>
      </c>
      <c r="AX45" s="1">
        <f t="shared" si="1"/>
        <v>32.499722222273704</v>
      </c>
      <c r="AY45" s="1">
        <v>10</v>
      </c>
      <c r="AZ45" s="4">
        <v>5.0000000000000001E-3</v>
      </c>
      <c r="BA45" s="4">
        <v>0.01</v>
      </c>
      <c r="BB45" s="4" t="s">
        <v>18</v>
      </c>
      <c r="BC45" s="9">
        <v>382794</v>
      </c>
      <c r="BD45" s="9">
        <v>9964774</v>
      </c>
      <c r="BE45" s="1"/>
    </row>
    <row r="46" spans="1:57" x14ac:dyDescent="0.3">
      <c r="A46" s="1" t="s">
        <v>12</v>
      </c>
      <c r="B46" s="6" t="s">
        <v>13</v>
      </c>
      <c r="C46" s="5">
        <v>45238</v>
      </c>
      <c r="D46" s="5">
        <v>45240</v>
      </c>
      <c r="E46" s="6" t="s">
        <v>43</v>
      </c>
      <c r="F46" s="4" t="s">
        <v>90</v>
      </c>
      <c r="G46" s="1" t="s">
        <v>19</v>
      </c>
      <c r="H46" s="6" t="s">
        <v>17</v>
      </c>
      <c r="I46" s="4" t="s">
        <v>98</v>
      </c>
      <c r="J46" s="4" t="s">
        <v>100</v>
      </c>
      <c r="L46" s="4" t="s">
        <v>131</v>
      </c>
      <c r="AV46" s="7">
        <v>45238.508715277778</v>
      </c>
      <c r="AW46" s="7">
        <v>45239.682326388887</v>
      </c>
      <c r="AX46" s="6">
        <f t="shared" si="1"/>
        <v>28.166666666627862</v>
      </c>
      <c r="AY46" s="6">
        <v>10</v>
      </c>
      <c r="AZ46" s="4">
        <v>5.0000000000000001E-3</v>
      </c>
      <c r="BA46" s="4">
        <v>0.01</v>
      </c>
      <c r="BB46" s="4" t="s">
        <v>18</v>
      </c>
      <c r="BC46" s="9">
        <v>382794</v>
      </c>
      <c r="BD46" s="9">
        <v>9964774</v>
      </c>
      <c r="BE46" s="1" t="s">
        <v>45</v>
      </c>
    </row>
    <row r="47" spans="1:57" x14ac:dyDescent="0.3">
      <c r="A47" s="1" t="s">
        <v>12</v>
      </c>
      <c r="B47" s="1" t="s">
        <v>13</v>
      </c>
      <c r="C47" s="2">
        <v>45245</v>
      </c>
      <c r="D47" s="2">
        <v>45247</v>
      </c>
      <c r="E47" s="1" t="s">
        <v>40</v>
      </c>
      <c r="F47" s="4" t="s">
        <v>90</v>
      </c>
      <c r="G47" s="1" t="s">
        <v>19</v>
      </c>
      <c r="H47" s="1" t="s">
        <v>38</v>
      </c>
      <c r="I47" s="4" t="s">
        <v>98</v>
      </c>
      <c r="J47" s="4" t="s">
        <v>100</v>
      </c>
      <c r="L47" s="4" t="s">
        <v>131</v>
      </c>
      <c r="AV47" s="8">
        <v>45245.554861111108</v>
      </c>
      <c r="AW47" s="8">
        <v>45246.832627314812</v>
      </c>
      <c r="AX47" s="1">
        <f t="shared" si="1"/>
        <v>30.666388888901565</v>
      </c>
      <c r="AY47" s="1">
        <v>10</v>
      </c>
      <c r="AZ47" s="4">
        <v>5.0000000000000001E-3</v>
      </c>
      <c r="BA47" s="4">
        <v>0.01</v>
      </c>
      <c r="BB47" s="4" t="s">
        <v>18</v>
      </c>
      <c r="BC47" s="9">
        <v>382794</v>
      </c>
      <c r="BD47" s="9">
        <v>9964774</v>
      </c>
      <c r="BE47" s="1" t="s">
        <v>41</v>
      </c>
    </row>
    <row r="48" spans="1:57" x14ac:dyDescent="0.3">
      <c r="A48" s="1" t="s">
        <v>12</v>
      </c>
      <c r="B48" s="6" t="s">
        <v>13</v>
      </c>
      <c r="C48" s="5">
        <v>45252</v>
      </c>
      <c r="D48" s="5">
        <v>45254</v>
      </c>
      <c r="E48" s="6" t="s">
        <v>40</v>
      </c>
      <c r="F48" s="4" t="s">
        <v>90</v>
      </c>
      <c r="G48" s="1" t="s">
        <v>19</v>
      </c>
      <c r="H48" s="6" t="s">
        <v>38</v>
      </c>
      <c r="I48" s="4" t="s">
        <v>98</v>
      </c>
      <c r="J48" s="4" t="s">
        <v>100</v>
      </c>
      <c r="L48" s="4" t="s">
        <v>131</v>
      </c>
      <c r="AV48" s="7">
        <v>45252.645624999997</v>
      </c>
      <c r="AW48" s="7">
        <v>45253.992835648147</v>
      </c>
      <c r="AX48" s="6">
        <f t="shared" si="1"/>
        <v>32.333055555587634</v>
      </c>
      <c r="AY48" s="6">
        <v>10</v>
      </c>
      <c r="AZ48" s="4">
        <v>5.0000000000000001E-3</v>
      </c>
      <c r="BA48" s="4">
        <v>0.01</v>
      </c>
      <c r="BB48" s="4" t="s">
        <v>18</v>
      </c>
      <c r="BC48" s="9">
        <v>382794</v>
      </c>
      <c r="BD48" s="9">
        <v>9964774</v>
      </c>
      <c r="BE48" s="6" t="s">
        <v>42</v>
      </c>
    </row>
    <row r="49" spans="1:57" x14ac:dyDescent="0.3">
      <c r="A49" s="1" t="s">
        <v>12</v>
      </c>
      <c r="B49" s="6" t="s">
        <v>13</v>
      </c>
      <c r="C49" s="5">
        <v>45252</v>
      </c>
      <c r="D49" s="5">
        <v>45254</v>
      </c>
      <c r="E49" s="6" t="s">
        <v>43</v>
      </c>
      <c r="F49" s="4" t="s">
        <v>90</v>
      </c>
      <c r="G49" s="1" t="s">
        <v>19</v>
      </c>
      <c r="H49" s="6" t="s">
        <v>17</v>
      </c>
      <c r="I49" s="4" t="s">
        <v>98</v>
      </c>
      <c r="J49" s="4" t="s">
        <v>100</v>
      </c>
      <c r="L49" s="4" t="s">
        <v>131</v>
      </c>
      <c r="AV49" s="7">
        <v>45252.64565972222</v>
      </c>
      <c r="AW49" s="7">
        <v>45253.916481481479</v>
      </c>
      <c r="AX49" s="6">
        <f t="shared" si="1"/>
        <v>30.499722222215496</v>
      </c>
      <c r="AY49" s="6">
        <v>10</v>
      </c>
      <c r="AZ49" s="4">
        <v>5.0000000000000001E-3</v>
      </c>
      <c r="BA49" s="4">
        <v>0.01</v>
      </c>
      <c r="BB49" s="4" t="s">
        <v>18</v>
      </c>
      <c r="BC49" s="9">
        <v>382794</v>
      </c>
      <c r="BD49" s="9">
        <v>9964774</v>
      </c>
      <c r="BE49" s="6" t="s">
        <v>42</v>
      </c>
    </row>
    <row r="50" spans="1:57" x14ac:dyDescent="0.3">
      <c r="A50" s="1" t="s">
        <v>12</v>
      </c>
      <c r="B50" s="1" t="s">
        <v>13</v>
      </c>
      <c r="C50" s="2">
        <v>45257</v>
      </c>
      <c r="D50" s="2">
        <v>45259</v>
      </c>
      <c r="E50" s="1" t="s">
        <v>40</v>
      </c>
      <c r="F50" s="4" t="s">
        <v>90</v>
      </c>
      <c r="G50" s="1" t="s">
        <v>19</v>
      </c>
      <c r="H50" s="1" t="s">
        <v>38</v>
      </c>
      <c r="I50" s="4" t="s">
        <v>98</v>
      </c>
      <c r="J50" s="4" t="s">
        <v>100</v>
      </c>
      <c r="L50" s="4" t="s">
        <v>131</v>
      </c>
      <c r="AV50" s="8">
        <v>45257.568749999999</v>
      </c>
      <c r="AW50" s="8">
        <v>45258.881238425929</v>
      </c>
      <c r="AX50" s="1">
        <f t="shared" si="1"/>
        <v>31.499722222331911</v>
      </c>
      <c r="AY50" s="1">
        <v>10</v>
      </c>
      <c r="AZ50" s="4">
        <v>5.0000000000000001E-3</v>
      </c>
      <c r="BA50" s="4">
        <v>0.01</v>
      </c>
      <c r="BB50" s="4" t="s">
        <v>18</v>
      </c>
      <c r="BC50" s="9">
        <v>382794</v>
      </c>
      <c r="BD50" s="9">
        <v>9964774</v>
      </c>
      <c r="BE50" s="1"/>
    </row>
    <row r="51" spans="1:57" x14ac:dyDescent="0.3">
      <c r="A51" s="1" t="s">
        <v>12</v>
      </c>
      <c r="B51" s="1" t="s">
        <v>13</v>
      </c>
      <c r="C51" s="2">
        <v>45257</v>
      </c>
      <c r="D51" s="2">
        <v>45259</v>
      </c>
      <c r="E51" s="1" t="s">
        <v>43</v>
      </c>
      <c r="F51" s="4" t="s">
        <v>90</v>
      </c>
      <c r="G51" s="1" t="s">
        <v>19</v>
      </c>
      <c r="H51" s="1" t="s">
        <v>17</v>
      </c>
      <c r="I51" s="4" t="s">
        <v>98</v>
      </c>
      <c r="J51" s="4" t="s">
        <v>100</v>
      </c>
      <c r="L51" s="4" t="s">
        <v>131</v>
      </c>
      <c r="AV51" s="8">
        <v>45257.570370370369</v>
      </c>
      <c r="AW51" s="8">
        <v>45258.841192129628</v>
      </c>
      <c r="AX51" s="1">
        <f t="shared" si="1"/>
        <v>30.499722222215496</v>
      </c>
      <c r="AY51" s="1">
        <v>10</v>
      </c>
      <c r="AZ51" s="4">
        <v>5.0000000000000001E-3</v>
      </c>
      <c r="BA51" s="4">
        <v>0.01</v>
      </c>
      <c r="BB51" s="4" t="s">
        <v>18</v>
      </c>
      <c r="BC51" s="9">
        <v>382794</v>
      </c>
      <c r="BD51" s="9">
        <v>9964774</v>
      </c>
      <c r="BE51" s="1"/>
    </row>
    <row r="52" spans="1:57" x14ac:dyDescent="0.3">
      <c r="A52" s="1" t="s">
        <v>12</v>
      </c>
      <c r="B52" s="1" t="s">
        <v>21</v>
      </c>
      <c r="C52" s="2">
        <v>45217</v>
      </c>
      <c r="D52" s="2">
        <v>45219</v>
      </c>
      <c r="E52" s="1" t="s">
        <v>72</v>
      </c>
      <c r="F52" s="4" t="s">
        <v>90</v>
      </c>
      <c r="G52" s="1" t="s">
        <v>36</v>
      </c>
      <c r="H52" s="4" t="s">
        <v>94</v>
      </c>
      <c r="I52" s="6" t="s">
        <v>100</v>
      </c>
      <c r="J52" s="4" t="s">
        <v>101</v>
      </c>
      <c r="AV52" s="3">
        <v>45217.554155092592</v>
      </c>
      <c r="AW52" s="3">
        <v>45218.394421296296</v>
      </c>
      <c r="AX52" s="1">
        <f t="shared" si="1"/>
        <v>20.166388888901565</v>
      </c>
      <c r="AY52" s="1">
        <v>10</v>
      </c>
      <c r="AZ52" s="4">
        <v>5.0000000000000001E-3</v>
      </c>
      <c r="BA52" s="4">
        <v>0.01</v>
      </c>
      <c r="BB52" s="4" t="s">
        <v>18</v>
      </c>
      <c r="BC52" s="9">
        <v>382782</v>
      </c>
      <c r="BD52" s="9">
        <v>9964814</v>
      </c>
      <c r="BE52" s="1"/>
    </row>
    <row r="53" spans="1:57" x14ac:dyDescent="0.3">
      <c r="A53" s="1" t="s">
        <v>12</v>
      </c>
      <c r="B53" s="6" t="s">
        <v>21</v>
      </c>
      <c r="C53" s="5">
        <v>45224</v>
      </c>
      <c r="D53" s="5">
        <v>45226</v>
      </c>
      <c r="E53" s="6" t="s">
        <v>22</v>
      </c>
      <c r="F53" s="4" t="s">
        <v>90</v>
      </c>
      <c r="G53" s="1" t="s">
        <v>36</v>
      </c>
      <c r="H53" s="4" t="s">
        <v>94</v>
      </c>
      <c r="I53" s="6" t="s">
        <v>100</v>
      </c>
      <c r="J53" s="4" t="s">
        <v>101</v>
      </c>
      <c r="AV53" s="7">
        <v>45224.532442129632</v>
      </c>
      <c r="AW53" s="7">
        <v>45225.171342592592</v>
      </c>
      <c r="AX53" s="6">
        <f t="shared" si="1"/>
        <v>15.333611111040227</v>
      </c>
      <c r="AY53" s="6">
        <v>10</v>
      </c>
      <c r="AZ53" s="4">
        <v>5.0000000000000001E-3</v>
      </c>
      <c r="BA53" s="4">
        <v>0.01</v>
      </c>
      <c r="BB53" s="4" t="s">
        <v>18</v>
      </c>
      <c r="BC53" s="9">
        <v>382782</v>
      </c>
      <c r="BD53" s="9">
        <v>9964814</v>
      </c>
      <c r="BE53" s="1" t="s">
        <v>82</v>
      </c>
    </row>
    <row r="54" spans="1:57" x14ac:dyDescent="0.3">
      <c r="A54" s="1" t="s">
        <v>12</v>
      </c>
      <c r="B54" s="1" t="s">
        <v>21</v>
      </c>
      <c r="C54" s="2">
        <v>45231</v>
      </c>
      <c r="D54" s="2">
        <v>45233</v>
      </c>
      <c r="E54" s="1" t="s">
        <v>22</v>
      </c>
      <c r="F54" s="4" t="s">
        <v>90</v>
      </c>
      <c r="G54" s="1" t="s">
        <v>36</v>
      </c>
      <c r="H54" s="4" t="s">
        <v>94</v>
      </c>
      <c r="I54" s="6" t="s">
        <v>100</v>
      </c>
      <c r="J54" s="4" t="s">
        <v>101</v>
      </c>
      <c r="AV54" s="8">
        <v>45231.517847222225</v>
      </c>
      <c r="AW54" s="8">
        <v>45232.58730324074</v>
      </c>
      <c r="AX54" s="1">
        <f t="shared" si="1"/>
        <v>25.666944444354158</v>
      </c>
      <c r="AY54" s="1">
        <v>10</v>
      </c>
      <c r="AZ54" s="4">
        <v>5.0000000000000001E-3</v>
      </c>
      <c r="BA54" s="4">
        <v>0.01</v>
      </c>
      <c r="BB54" s="4" t="s">
        <v>18</v>
      </c>
      <c r="BC54" s="9">
        <v>382782</v>
      </c>
      <c r="BD54" s="9">
        <v>9964814</v>
      </c>
      <c r="BE54" s="1"/>
    </row>
    <row r="55" spans="1:57" x14ac:dyDescent="0.3">
      <c r="A55" s="1" t="s">
        <v>12</v>
      </c>
      <c r="B55" s="1" t="s">
        <v>21</v>
      </c>
      <c r="C55" s="2">
        <v>45238</v>
      </c>
      <c r="D55" s="2">
        <v>45240</v>
      </c>
      <c r="E55" s="1" t="s">
        <v>22</v>
      </c>
      <c r="F55" s="4" t="s">
        <v>90</v>
      </c>
      <c r="G55" s="1" t="s">
        <v>36</v>
      </c>
      <c r="H55" s="4" t="s">
        <v>94</v>
      </c>
      <c r="I55" s="6" t="s">
        <v>100</v>
      </c>
      <c r="J55" s="4" t="s">
        <v>101</v>
      </c>
      <c r="AV55" s="8">
        <v>45238.512407407405</v>
      </c>
      <c r="AW55" s="8">
        <v>45239.824930555558</v>
      </c>
      <c r="AX55" s="1">
        <f t="shared" si="1"/>
        <v>31.500555555685423</v>
      </c>
      <c r="AY55" s="1">
        <v>10</v>
      </c>
      <c r="AZ55" s="4">
        <v>5.0000000000000001E-3</v>
      </c>
      <c r="BA55" s="4">
        <v>0.01</v>
      </c>
      <c r="BB55" s="4" t="s">
        <v>18</v>
      </c>
      <c r="BC55" s="9">
        <v>382782</v>
      </c>
      <c r="BD55" s="9">
        <v>9964814</v>
      </c>
      <c r="BE55" s="1"/>
    </row>
    <row r="56" spans="1:57" x14ac:dyDescent="0.3">
      <c r="A56" s="1" t="s">
        <v>12</v>
      </c>
      <c r="B56" s="1" t="s">
        <v>21</v>
      </c>
      <c r="C56" s="2">
        <v>45245</v>
      </c>
      <c r="D56" s="2">
        <v>45247</v>
      </c>
      <c r="E56" s="1" t="s">
        <v>22</v>
      </c>
      <c r="F56" s="4" t="s">
        <v>90</v>
      </c>
      <c r="G56" s="1" t="s">
        <v>36</v>
      </c>
      <c r="H56" s="4" t="s">
        <v>94</v>
      </c>
      <c r="I56" s="6" t="s">
        <v>100</v>
      </c>
      <c r="J56" s="4" t="s">
        <v>101</v>
      </c>
      <c r="AV56" s="8">
        <v>45245.549722222226</v>
      </c>
      <c r="AW56" s="8">
        <v>45246.855300925927</v>
      </c>
      <c r="AX56" s="1">
        <f t="shared" si="1"/>
        <v>31.333888888824731</v>
      </c>
      <c r="AY56" s="1">
        <v>10</v>
      </c>
      <c r="AZ56" s="4">
        <v>5.0000000000000001E-3</v>
      </c>
      <c r="BA56" s="4">
        <v>0.01</v>
      </c>
      <c r="BB56" s="4" t="s">
        <v>18</v>
      </c>
      <c r="BC56" s="9">
        <v>382782</v>
      </c>
      <c r="BD56" s="9">
        <v>9964814</v>
      </c>
      <c r="BE56" s="1"/>
    </row>
    <row r="57" spans="1:57" x14ac:dyDescent="0.3">
      <c r="A57" s="1" t="s">
        <v>12</v>
      </c>
      <c r="B57" s="1" t="s">
        <v>21</v>
      </c>
      <c r="C57" s="2">
        <v>45252</v>
      </c>
      <c r="D57" s="2">
        <v>45254</v>
      </c>
      <c r="E57" s="1" t="s">
        <v>22</v>
      </c>
      <c r="F57" s="4" t="s">
        <v>90</v>
      </c>
      <c r="G57" s="1" t="s">
        <v>36</v>
      </c>
      <c r="H57" s="4" t="s">
        <v>94</v>
      </c>
      <c r="I57" s="6" t="s">
        <v>100</v>
      </c>
      <c r="J57" s="4" t="s">
        <v>101</v>
      </c>
      <c r="AV57" s="8">
        <v>45252.63181712963</v>
      </c>
      <c r="AW57" s="8">
        <v>45253.958240740743</v>
      </c>
      <c r="AX57" s="1">
        <f t="shared" si="1"/>
        <v>31.83416666672565</v>
      </c>
      <c r="AY57" s="1">
        <v>10</v>
      </c>
      <c r="AZ57" s="4">
        <v>5.0000000000000001E-3</v>
      </c>
      <c r="BA57" s="4">
        <v>0.01</v>
      </c>
      <c r="BB57" s="4" t="s">
        <v>18</v>
      </c>
      <c r="BC57" s="9">
        <v>382782</v>
      </c>
      <c r="BD57" s="9">
        <v>9964814</v>
      </c>
      <c r="BE57" s="1"/>
    </row>
    <row r="58" spans="1:57" x14ac:dyDescent="0.3">
      <c r="A58" s="1" t="s">
        <v>12</v>
      </c>
      <c r="B58" s="1" t="s">
        <v>21</v>
      </c>
      <c r="C58" s="2">
        <v>45257</v>
      </c>
      <c r="D58" s="2">
        <v>45259</v>
      </c>
      <c r="E58" s="1" t="s">
        <v>22</v>
      </c>
      <c r="F58" s="4" t="s">
        <v>90</v>
      </c>
      <c r="G58" s="1" t="s">
        <v>36</v>
      </c>
      <c r="H58" s="4" t="s">
        <v>94</v>
      </c>
      <c r="I58" s="6" t="s">
        <v>100</v>
      </c>
      <c r="J58" s="4" t="s">
        <v>101</v>
      </c>
      <c r="AV58" s="8">
        <v>45257.562164351853</v>
      </c>
      <c r="AW58" s="8">
        <v>45258.860810185186</v>
      </c>
      <c r="AX58" s="1">
        <f t="shared" si="1"/>
        <v>31.167499999981374</v>
      </c>
      <c r="AY58" s="1">
        <v>10</v>
      </c>
      <c r="AZ58" s="4">
        <v>5.0000000000000001E-3</v>
      </c>
      <c r="BA58" s="4">
        <v>0.01</v>
      </c>
      <c r="BB58" s="4" t="s">
        <v>18</v>
      </c>
      <c r="BC58" s="9">
        <v>382782</v>
      </c>
      <c r="BD58" s="9">
        <v>9964814</v>
      </c>
      <c r="BE58" s="1"/>
    </row>
    <row r="59" spans="1:57" x14ac:dyDescent="0.3">
      <c r="A59" s="1" t="s">
        <v>15</v>
      </c>
      <c r="B59" s="1" t="s">
        <v>16</v>
      </c>
      <c r="C59" s="2">
        <v>45210</v>
      </c>
      <c r="D59" s="2">
        <v>45182</v>
      </c>
      <c r="E59" s="1" t="s">
        <v>14</v>
      </c>
      <c r="F59" s="4" t="s">
        <v>90</v>
      </c>
      <c r="G59" s="1" t="s">
        <v>19</v>
      </c>
      <c r="H59" s="1" t="s">
        <v>17</v>
      </c>
      <c r="I59" s="4" t="s">
        <v>98</v>
      </c>
      <c r="J59" s="4" t="s">
        <v>100</v>
      </c>
      <c r="L59" s="4" t="s">
        <v>131</v>
      </c>
      <c r="P59"/>
      <c r="S59"/>
      <c r="X59"/>
      <c r="Y59"/>
      <c r="Z59"/>
      <c r="AA59"/>
      <c r="AB59"/>
      <c r="AV59" s="3">
        <v>45210.711157407408</v>
      </c>
      <c r="AW59" s="3">
        <v>45212.113923611112</v>
      </c>
      <c r="AX59" s="1">
        <f t="shared" si="1"/>
        <v>33.666388888901565</v>
      </c>
      <c r="AY59" s="1">
        <v>10</v>
      </c>
      <c r="AZ59" s="4">
        <v>5.0000000000000001E-3</v>
      </c>
      <c r="BA59" s="4">
        <v>0.01</v>
      </c>
      <c r="BB59" s="4" t="s">
        <v>18</v>
      </c>
      <c r="BC59" s="9">
        <v>382134</v>
      </c>
      <c r="BD59" s="9">
        <v>9964854</v>
      </c>
      <c r="BE59" s="1"/>
    </row>
    <row r="60" spans="1:57" x14ac:dyDescent="0.3">
      <c r="A60" s="1" t="s">
        <v>15</v>
      </c>
      <c r="B60" s="1" t="s">
        <v>16</v>
      </c>
      <c r="C60" s="2">
        <v>45210</v>
      </c>
      <c r="D60" s="2">
        <v>45182</v>
      </c>
      <c r="E60" s="1" t="s">
        <v>37</v>
      </c>
      <c r="F60" s="4" t="s">
        <v>90</v>
      </c>
      <c r="G60" s="1" t="s">
        <v>19</v>
      </c>
      <c r="H60" s="1" t="s">
        <v>38</v>
      </c>
      <c r="I60" s="4" t="s">
        <v>98</v>
      </c>
      <c r="J60" s="4" t="s">
        <v>100</v>
      </c>
      <c r="L60" s="4" t="s">
        <v>131</v>
      </c>
      <c r="P60"/>
      <c r="S60"/>
      <c r="X60"/>
      <c r="Y60"/>
      <c r="Z60"/>
      <c r="AA60"/>
      <c r="AB60"/>
      <c r="AV60" s="3">
        <v>45210.620173611111</v>
      </c>
      <c r="AW60" s="3">
        <v>45211.946550925924</v>
      </c>
      <c r="AX60" s="1">
        <f t="shared" si="1"/>
        <v>31.833055555529427</v>
      </c>
      <c r="AY60" s="1">
        <v>10</v>
      </c>
      <c r="AZ60" s="4">
        <v>5.0000000000000001E-3</v>
      </c>
      <c r="BA60" s="4">
        <v>0.01</v>
      </c>
      <c r="BB60" s="4" t="s">
        <v>18</v>
      </c>
      <c r="BC60" s="9">
        <v>382134</v>
      </c>
      <c r="BD60" s="9">
        <v>9964854</v>
      </c>
      <c r="BE60" s="1" t="s">
        <v>39</v>
      </c>
    </row>
    <row r="61" spans="1:57" x14ac:dyDescent="0.3">
      <c r="A61" s="1" t="s">
        <v>15</v>
      </c>
      <c r="B61" s="1" t="s">
        <v>16</v>
      </c>
      <c r="C61" s="2">
        <v>45217</v>
      </c>
      <c r="D61" s="2">
        <v>45219</v>
      </c>
      <c r="E61" s="1" t="s">
        <v>14</v>
      </c>
      <c r="F61" s="4" t="s">
        <v>90</v>
      </c>
      <c r="G61" s="1" t="s">
        <v>19</v>
      </c>
      <c r="H61" s="1" t="s">
        <v>17</v>
      </c>
      <c r="I61" s="4" t="s">
        <v>98</v>
      </c>
      <c r="J61" s="4" t="s">
        <v>100</v>
      </c>
      <c r="L61" s="4" t="s">
        <v>131</v>
      </c>
      <c r="AV61" s="3">
        <v>45217.512002314812</v>
      </c>
      <c r="AW61" s="3">
        <v>45218.761979166666</v>
      </c>
      <c r="AX61" s="1">
        <f t="shared" si="1"/>
        <v>29.9994444444892</v>
      </c>
      <c r="AY61" s="1">
        <v>10</v>
      </c>
      <c r="AZ61" s="4">
        <v>5.0000000000000001E-3</v>
      </c>
      <c r="BA61" s="4">
        <v>0.01</v>
      </c>
      <c r="BB61" s="4" t="s">
        <v>18</v>
      </c>
      <c r="BC61" s="9">
        <v>382134</v>
      </c>
      <c r="BD61" s="9">
        <v>9964854</v>
      </c>
      <c r="BE61" s="4"/>
    </row>
    <row r="62" spans="1:57" x14ac:dyDescent="0.3">
      <c r="A62" s="1" t="s">
        <v>15</v>
      </c>
      <c r="B62" s="1" t="s">
        <v>16</v>
      </c>
      <c r="C62" s="2">
        <v>45217</v>
      </c>
      <c r="D62" s="2">
        <v>45219</v>
      </c>
      <c r="E62" s="1" t="s">
        <v>37</v>
      </c>
      <c r="F62" s="4" t="s">
        <v>90</v>
      </c>
      <c r="G62" s="1" t="s">
        <v>19</v>
      </c>
      <c r="H62" s="1" t="s">
        <v>38</v>
      </c>
      <c r="I62" s="4" t="s">
        <v>98</v>
      </c>
      <c r="J62" s="4" t="s">
        <v>100</v>
      </c>
      <c r="L62" s="4" t="s">
        <v>131</v>
      </c>
      <c r="AV62" s="3">
        <v>45217.512083333335</v>
      </c>
      <c r="AW62" s="3">
        <v>45218.838449074072</v>
      </c>
      <c r="AX62" s="1">
        <f t="shared" si="1"/>
        <v>31.832777777686715</v>
      </c>
      <c r="AY62" s="1">
        <v>10</v>
      </c>
      <c r="AZ62" s="4">
        <v>5.0000000000000001E-3</v>
      </c>
      <c r="BA62" s="4">
        <v>0.01</v>
      </c>
      <c r="BB62" s="4" t="s">
        <v>18</v>
      </c>
      <c r="BC62" s="9">
        <v>382134</v>
      </c>
      <c r="BD62" s="9">
        <v>9964854</v>
      </c>
      <c r="BE62" s="4"/>
    </row>
    <row r="63" spans="1:57" x14ac:dyDescent="0.3">
      <c r="A63" s="1" t="s">
        <v>15</v>
      </c>
      <c r="B63" s="1" t="s">
        <v>16</v>
      </c>
      <c r="C63" s="2">
        <v>45224</v>
      </c>
      <c r="D63" s="2">
        <v>45226</v>
      </c>
      <c r="E63" s="1" t="s">
        <v>14</v>
      </c>
      <c r="F63" s="4" t="s">
        <v>90</v>
      </c>
      <c r="G63" s="1" t="s">
        <v>19</v>
      </c>
      <c r="H63" s="1" t="s">
        <v>17</v>
      </c>
      <c r="I63" s="4" t="s">
        <v>98</v>
      </c>
      <c r="J63" s="4" t="s">
        <v>100</v>
      </c>
      <c r="L63" s="4" t="s">
        <v>131</v>
      </c>
      <c r="AV63" s="8">
        <v>45224.556331018517</v>
      </c>
      <c r="AW63" s="8">
        <v>45225.445208333331</v>
      </c>
      <c r="AX63" s="1">
        <f t="shared" si="1"/>
        <v>21.333055555529427</v>
      </c>
      <c r="AY63" s="1">
        <v>10</v>
      </c>
      <c r="AZ63" s="4">
        <v>5.0000000000000001E-3</v>
      </c>
      <c r="BA63" s="4">
        <v>0.01</v>
      </c>
      <c r="BB63" s="4" t="s">
        <v>18</v>
      </c>
      <c r="BC63" s="9">
        <v>382134</v>
      </c>
      <c r="BD63" s="9">
        <v>9964854</v>
      </c>
      <c r="BE63" s="1"/>
    </row>
    <row r="64" spans="1:57" x14ac:dyDescent="0.3">
      <c r="A64" s="1" t="s">
        <v>15</v>
      </c>
      <c r="B64" s="1" t="s">
        <v>16</v>
      </c>
      <c r="C64" s="2">
        <v>45224</v>
      </c>
      <c r="D64" s="2">
        <v>45226</v>
      </c>
      <c r="E64" s="1" t="s">
        <v>37</v>
      </c>
      <c r="F64" s="4" t="s">
        <v>90</v>
      </c>
      <c r="G64" s="1" t="s">
        <v>19</v>
      </c>
      <c r="H64" s="1" t="s">
        <v>38</v>
      </c>
      <c r="I64" s="4" t="s">
        <v>98</v>
      </c>
      <c r="J64" s="4" t="s">
        <v>100</v>
      </c>
      <c r="L64" s="4" t="s">
        <v>131</v>
      </c>
      <c r="AV64" s="8">
        <v>45224.562291666669</v>
      </c>
      <c r="AW64" s="8">
        <v>45225.548414351855</v>
      </c>
      <c r="AX64" s="1">
        <f t="shared" si="1"/>
        <v>23.666944444470573</v>
      </c>
      <c r="AY64" s="1">
        <v>10</v>
      </c>
      <c r="AZ64" s="4">
        <v>5.0000000000000001E-3</v>
      </c>
      <c r="BA64" s="4">
        <v>0.01</v>
      </c>
      <c r="BB64" s="4" t="s">
        <v>18</v>
      </c>
      <c r="BC64" s="9">
        <v>382134</v>
      </c>
      <c r="BD64" s="9">
        <v>9964854</v>
      </c>
      <c r="BE64" s="1"/>
    </row>
    <row r="65" spans="1:57" x14ac:dyDescent="0.3">
      <c r="A65" s="1" t="s">
        <v>15</v>
      </c>
      <c r="B65" s="1" t="s">
        <v>16</v>
      </c>
      <c r="C65" s="2">
        <v>45231</v>
      </c>
      <c r="D65" s="2">
        <v>45233</v>
      </c>
      <c r="E65" s="1" t="s">
        <v>14</v>
      </c>
      <c r="F65" s="4" t="s">
        <v>90</v>
      </c>
      <c r="G65" s="1" t="s">
        <v>19</v>
      </c>
      <c r="H65" s="1" t="s">
        <v>17</v>
      </c>
      <c r="I65" s="4" t="s">
        <v>98</v>
      </c>
      <c r="J65" s="4" t="s">
        <v>100</v>
      </c>
      <c r="L65" s="4" t="s">
        <v>131</v>
      </c>
      <c r="AV65" s="8">
        <v>45231.528043981481</v>
      </c>
      <c r="AW65" s="8">
        <v>45232.569699074076</v>
      </c>
      <c r="AX65" s="1">
        <f t="shared" si="1"/>
        <v>24.999722222273704</v>
      </c>
      <c r="AY65" s="1">
        <v>10</v>
      </c>
      <c r="AZ65" s="4">
        <v>5.0000000000000001E-3</v>
      </c>
      <c r="BA65" s="4">
        <v>0.01</v>
      </c>
      <c r="BB65" s="4" t="s">
        <v>18</v>
      </c>
      <c r="BC65" s="9">
        <v>382134</v>
      </c>
      <c r="BD65" s="9">
        <v>9964854</v>
      </c>
      <c r="BE65" s="1"/>
    </row>
    <row r="66" spans="1:57" x14ac:dyDescent="0.3">
      <c r="A66" s="1" t="s">
        <v>15</v>
      </c>
      <c r="B66" s="1" t="s">
        <v>16</v>
      </c>
      <c r="C66" s="2">
        <v>45231</v>
      </c>
      <c r="D66" s="2">
        <v>45233</v>
      </c>
      <c r="E66" s="1" t="s">
        <v>37</v>
      </c>
      <c r="F66" s="4" t="s">
        <v>90</v>
      </c>
      <c r="G66" s="1" t="s">
        <v>19</v>
      </c>
      <c r="H66" s="1" t="s">
        <v>38</v>
      </c>
      <c r="I66" s="4" t="s">
        <v>98</v>
      </c>
      <c r="J66" s="4" t="s">
        <v>100</v>
      </c>
      <c r="L66" s="4" t="s">
        <v>131</v>
      </c>
      <c r="S66"/>
      <c r="AV66" s="8">
        <v>45231.529537037037</v>
      </c>
      <c r="AW66" s="8">
        <v>45232.793437499997</v>
      </c>
      <c r="AX66" s="1">
        <f t="shared" ref="AX66:AX97" si="2">(AW66-AV66)*24</f>
        <v>30.333611111040227</v>
      </c>
      <c r="AY66" s="1">
        <v>10</v>
      </c>
      <c r="AZ66" s="4">
        <v>5.0000000000000001E-3</v>
      </c>
      <c r="BA66" s="4">
        <v>0.01</v>
      </c>
      <c r="BB66" s="4" t="s">
        <v>18</v>
      </c>
      <c r="BC66" s="9">
        <v>382134</v>
      </c>
      <c r="BD66" s="9">
        <v>9964854</v>
      </c>
      <c r="BE66" s="1"/>
    </row>
    <row r="67" spans="1:57" x14ac:dyDescent="0.3">
      <c r="A67" s="1" t="s">
        <v>15</v>
      </c>
      <c r="B67" s="1" t="s">
        <v>16</v>
      </c>
      <c r="C67" s="2">
        <v>45238</v>
      </c>
      <c r="D67" s="2">
        <v>45240</v>
      </c>
      <c r="E67" s="1" t="s">
        <v>14</v>
      </c>
      <c r="F67" s="4" t="s">
        <v>90</v>
      </c>
      <c r="G67" s="1" t="s">
        <v>19</v>
      </c>
      <c r="H67" s="1" t="s">
        <v>17</v>
      </c>
      <c r="I67" s="4" t="s">
        <v>98</v>
      </c>
      <c r="J67" s="4" t="s">
        <v>100</v>
      </c>
      <c r="L67" s="4" t="s">
        <v>131</v>
      </c>
      <c r="AV67" s="8">
        <v>45238.527962962966</v>
      </c>
      <c r="AW67" s="8">
        <v>45239.833506944444</v>
      </c>
      <c r="AX67" s="1">
        <f t="shared" si="2"/>
        <v>31.333055555471219</v>
      </c>
      <c r="AY67" s="1">
        <v>10</v>
      </c>
      <c r="AZ67" s="4">
        <v>5.0000000000000001E-3</v>
      </c>
      <c r="BA67" s="4">
        <v>0.01</v>
      </c>
      <c r="BB67" s="4" t="s">
        <v>18</v>
      </c>
      <c r="BC67" s="9">
        <v>382134</v>
      </c>
      <c r="BD67" s="9">
        <v>9964854</v>
      </c>
      <c r="BE67" s="1"/>
    </row>
    <row r="68" spans="1:57" x14ac:dyDescent="0.3">
      <c r="A68" s="1" t="s">
        <v>15</v>
      </c>
      <c r="B68" s="1" t="s">
        <v>16</v>
      </c>
      <c r="C68" s="2">
        <v>45238</v>
      </c>
      <c r="D68" s="2">
        <v>45240</v>
      </c>
      <c r="E68" s="1" t="s">
        <v>37</v>
      </c>
      <c r="F68" s="4" t="s">
        <v>90</v>
      </c>
      <c r="G68" s="1" t="s">
        <v>19</v>
      </c>
      <c r="H68" s="1" t="s">
        <v>38</v>
      </c>
      <c r="I68" s="4" t="s">
        <v>98</v>
      </c>
      <c r="J68" s="4" t="s">
        <v>100</v>
      </c>
      <c r="L68" s="4" t="s">
        <v>131</v>
      </c>
      <c r="AV68" s="8">
        <v>45238.528333333335</v>
      </c>
      <c r="AW68" s="8">
        <v>45240.097800925927</v>
      </c>
      <c r="AX68" s="1">
        <f t="shared" si="2"/>
        <v>37.66722222219687</v>
      </c>
      <c r="AY68" s="1">
        <v>10</v>
      </c>
      <c r="AZ68" s="4">
        <v>5.0000000000000001E-3</v>
      </c>
      <c r="BA68" s="4">
        <v>0.01</v>
      </c>
      <c r="BB68" s="4" t="s">
        <v>18</v>
      </c>
      <c r="BC68" s="9">
        <v>382134</v>
      </c>
      <c r="BD68" s="9">
        <v>9964854</v>
      </c>
      <c r="BE68" s="1"/>
    </row>
    <row r="69" spans="1:57" x14ac:dyDescent="0.3">
      <c r="A69" s="1" t="s">
        <v>15</v>
      </c>
      <c r="B69" s="6" t="s">
        <v>16</v>
      </c>
      <c r="C69" s="5">
        <v>45245</v>
      </c>
      <c r="D69" s="5">
        <v>45247</v>
      </c>
      <c r="E69" s="6" t="s">
        <v>14</v>
      </c>
      <c r="F69" s="4" t="s">
        <v>90</v>
      </c>
      <c r="G69" s="1" t="s">
        <v>19</v>
      </c>
      <c r="H69" s="6" t="s">
        <v>17</v>
      </c>
      <c r="I69" s="4" t="s">
        <v>98</v>
      </c>
      <c r="J69" s="4" t="s">
        <v>100</v>
      </c>
      <c r="L69" s="4" t="s">
        <v>131</v>
      </c>
      <c r="AV69" s="7">
        <v>45245.582766203705</v>
      </c>
      <c r="AW69" s="7">
        <v>45246.742488425924</v>
      </c>
      <c r="AX69" s="6">
        <f t="shared" si="2"/>
        <v>27.833333333255723</v>
      </c>
      <c r="AY69" s="6">
        <v>10</v>
      </c>
      <c r="AZ69" s="4">
        <v>5.0000000000000001E-3</v>
      </c>
      <c r="BA69" s="4">
        <v>0.01</v>
      </c>
      <c r="BB69" s="4" t="s">
        <v>18</v>
      </c>
      <c r="BC69" s="9">
        <v>382134</v>
      </c>
      <c r="BD69" s="9">
        <v>9964854</v>
      </c>
      <c r="BE69" s="1" t="s">
        <v>81</v>
      </c>
    </row>
    <row r="70" spans="1:57" x14ac:dyDescent="0.3">
      <c r="A70" s="1" t="s">
        <v>15</v>
      </c>
      <c r="B70" s="1" t="s">
        <v>16</v>
      </c>
      <c r="C70" s="2">
        <v>45245</v>
      </c>
      <c r="D70" s="2">
        <v>45247</v>
      </c>
      <c r="E70" s="1" t="s">
        <v>37</v>
      </c>
      <c r="F70" s="4" t="s">
        <v>90</v>
      </c>
      <c r="G70" s="1" t="s">
        <v>19</v>
      </c>
      <c r="H70" s="1" t="s">
        <v>38</v>
      </c>
      <c r="I70" s="4" t="s">
        <v>98</v>
      </c>
      <c r="J70" s="4" t="s">
        <v>100</v>
      </c>
      <c r="L70" s="4" t="s">
        <v>131</v>
      </c>
      <c r="AV70" s="8">
        <v>45245.582303240742</v>
      </c>
      <c r="AW70" s="8">
        <v>45247.151770833334</v>
      </c>
      <c r="AX70" s="1">
        <f t="shared" si="2"/>
        <v>37.66722222219687</v>
      </c>
      <c r="AY70" s="1">
        <v>10</v>
      </c>
      <c r="AZ70" s="4">
        <v>5.0000000000000001E-3</v>
      </c>
      <c r="BA70" s="4">
        <v>0.01</v>
      </c>
      <c r="BB70" s="4" t="s">
        <v>18</v>
      </c>
      <c r="BC70" s="9">
        <v>382134</v>
      </c>
      <c r="BD70" s="9">
        <v>9964854</v>
      </c>
      <c r="BE70" s="1"/>
    </row>
    <row r="71" spans="1:57" x14ac:dyDescent="0.3">
      <c r="A71" s="1" t="s">
        <v>15</v>
      </c>
      <c r="B71" s="6" t="s">
        <v>16</v>
      </c>
      <c r="C71" s="5">
        <v>45252</v>
      </c>
      <c r="D71" s="5">
        <v>45254</v>
      </c>
      <c r="E71" s="6" t="s">
        <v>14</v>
      </c>
      <c r="F71" s="4" t="s">
        <v>90</v>
      </c>
      <c r="G71" s="1" t="s">
        <v>19</v>
      </c>
      <c r="H71" s="6" t="s">
        <v>17</v>
      </c>
      <c r="I71" s="4" t="s">
        <v>98</v>
      </c>
      <c r="J71" s="4" t="s">
        <v>100</v>
      </c>
      <c r="L71" s="4" t="s">
        <v>131</v>
      </c>
      <c r="AV71" s="7">
        <v>45252.680300925924</v>
      </c>
      <c r="AW71" s="7">
        <v>45253.8747337963</v>
      </c>
      <c r="AX71" s="6">
        <f t="shared" si="2"/>
        <v>28.666388889017981</v>
      </c>
      <c r="AY71" s="6">
        <v>10</v>
      </c>
      <c r="AZ71" s="4">
        <v>5.0000000000000001E-3</v>
      </c>
      <c r="BA71" s="4">
        <v>0.01</v>
      </c>
      <c r="BB71" s="4" t="s">
        <v>18</v>
      </c>
      <c r="BC71" s="9">
        <v>382134</v>
      </c>
      <c r="BD71" s="9">
        <v>9964854</v>
      </c>
      <c r="BE71" s="6" t="s">
        <v>20</v>
      </c>
    </row>
    <row r="72" spans="1:57" x14ac:dyDescent="0.3">
      <c r="A72" s="1" t="s">
        <v>15</v>
      </c>
      <c r="B72" s="1" t="s">
        <v>16</v>
      </c>
      <c r="C72" s="2">
        <v>45252</v>
      </c>
      <c r="D72" s="2">
        <v>45254</v>
      </c>
      <c r="E72" s="1" t="s">
        <v>37</v>
      </c>
      <c r="F72" s="4" t="s">
        <v>90</v>
      </c>
      <c r="G72" s="1" t="s">
        <v>19</v>
      </c>
      <c r="H72" s="1" t="s">
        <v>38</v>
      </c>
      <c r="I72" s="4" t="s">
        <v>98</v>
      </c>
      <c r="J72" s="4" t="s">
        <v>100</v>
      </c>
      <c r="L72" s="4" t="s">
        <v>131</v>
      </c>
      <c r="AV72" s="8">
        <v>45252.673402777778</v>
      </c>
      <c r="AW72" s="8">
        <v>45253.985925925925</v>
      </c>
      <c r="AX72" s="1">
        <f t="shared" si="2"/>
        <v>31.5005555555108</v>
      </c>
      <c r="AY72" s="1">
        <v>10</v>
      </c>
      <c r="AZ72" s="4">
        <v>5.0000000000000001E-3</v>
      </c>
      <c r="BA72" s="4">
        <v>0.01</v>
      </c>
      <c r="BB72" s="4" t="s">
        <v>18</v>
      </c>
      <c r="BC72" s="9">
        <v>382134</v>
      </c>
      <c r="BD72" s="9">
        <v>9964854</v>
      </c>
      <c r="BE72" s="1"/>
    </row>
    <row r="73" spans="1:57" x14ac:dyDescent="0.3">
      <c r="A73" s="1" t="s">
        <v>15</v>
      </c>
      <c r="B73" s="1" t="s">
        <v>16</v>
      </c>
      <c r="C73" s="2">
        <v>45257</v>
      </c>
      <c r="D73" s="2">
        <v>45259</v>
      </c>
      <c r="E73" s="1" t="s">
        <v>14</v>
      </c>
      <c r="F73" s="4" t="s">
        <v>90</v>
      </c>
      <c r="G73" s="1" t="s">
        <v>19</v>
      </c>
      <c r="H73" s="1" t="s">
        <v>17</v>
      </c>
      <c r="I73" s="4" t="s">
        <v>98</v>
      </c>
      <c r="J73" s="4" t="s">
        <v>100</v>
      </c>
      <c r="L73" s="4" t="s">
        <v>131</v>
      </c>
      <c r="AV73" s="8">
        <v>45257.597372685188</v>
      </c>
      <c r="AW73" s="8">
        <v>45258.798750000002</v>
      </c>
      <c r="AX73" s="1">
        <f t="shared" si="2"/>
        <v>28.833055555529427</v>
      </c>
      <c r="AY73" s="1">
        <v>10</v>
      </c>
      <c r="AZ73" s="4">
        <v>5.0000000000000001E-3</v>
      </c>
      <c r="BA73" s="4">
        <v>0.01</v>
      </c>
      <c r="BB73" s="4" t="s">
        <v>18</v>
      </c>
      <c r="BC73" s="9">
        <v>382134</v>
      </c>
      <c r="BD73" s="9">
        <v>9964854</v>
      </c>
      <c r="BE73" s="1"/>
    </row>
  </sheetData>
  <sortState ref="A2:BE73">
    <sortCondition ref="B1:B7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Stefan Mucha</cp:lastModifiedBy>
  <dcterms:created xsi:type="dcterms:W3CDTF">2026-09-10T15:00:58Z</dcterms:created>
  <dcterms:modified xsi:type="dcterms:W3CDTF">2026-09-11T09:58:59Z</dcterms:modified>
</cp:coreProperties>
</file>